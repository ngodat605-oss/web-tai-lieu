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\Tài liệu thu mua采购\"/>
    </mc:Choice>
  </mc:AlternateContent>
  <xr:revisionPtr revIDLastSave="0" documentId="13_ncr:1_{EE6D791B-6383-441D-ABA7-FC44EE4DBA4C}" xr6:coauthVersionLast="47" xr6:coauthVersionMax="47" xr10:uidLastSave="{00000000-0000-0000-0000-000000000000}"/>
  <bookViews>
    <workbookView xWindow="1080" yWindow="1080" windowWidth="21000" windowHeight="14055" xr2:uid="{00000000-000D-0000-FFFF-FFFF00000000}"/>
  </bookViews>
  <sheets>
    <sheet name="支付明细" sheetId="4" r:id="rId1"/>
    <sheet name="应付账款" sheetId="16" r:id="rId2"/>
    <sheet name="现金部分" sheetId="17" r:id="rId3"/>
  </sheets>
  <definedNames>
    <definedName name="_xlnm._FilterDatabase" localSheetId="0" hidden="1">支付明细!$A$1:$L$119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16" l="1"/>
  <c r="E28" i="16"/>
  <c r="E118" i="4"/>
  <c r="I35" i="16"/>
  <c r="H38" i="16"/>
  <c r="H36" i="16"/>
  <c r="H37" i="16"/>
  <c r="E30" i="16"/>
  <c r="E39" i="4"/>
  <c r="E19" i="17"/>
  <c r="E106" i="4"/>
  <c r="E69" i="4"/>
  <c r="E102" i="4" l="1"/>
  <c r="E52" i="4" l="1"/>
  <c r="E38" i="4"/>
</calcChain>
</file>

<file path=xl/sharedStrings.xml><?xml version="1.0" encoding="utf-8"?>
<sst xmlns="http://schemas.openxmlformats.org/spreadsheetml/2006/main" count="1104" uniqueCount="471">
  <si>
    <t xml:space="preserve">NGUYEN THI BICH NGOC </t>
    <phoneticPr fontId="1" type="noConversion"/>
  </si>
  <si>
    <t>19037095108018</t>
  </si>
  <si>
    <t>Techcombank 银行</t>
    <phoneticPr fontId="1" type="noConversion"/>
  </si>
  <si>
    <t>SWIFT CODE</t>
    <phoneticPr fontId="1" type="noConversion"/>
  </si>
  <si>
    <t>CÔNG TY TNHH SUNHA VINA</t>
    <phoneticPr fontId="1" type="noConversion"/>
  </si>
  <si>
    <r>
      <t>Ngân hàng TMCP Ngoại th</t>
    </r>
    <r>
      <rPr>
        <sz val="12"/>
        <color theme="1"/>
        <rFont val="Calibri"/>
        <family val="1"/>
        <scheme val="minor"/>
      </rPr>
      <t>ươ</t>
    </r>
    <r>
      <rPr>
        <sz val="12"/>
        <color theme="1"/>
        <rFont val="Calibri"/>
        <family val="1"/>
        <charset val="136"/>
        <scheme val="minor"/>
      </rPr>
      <t>ng Việt Nam- CN Bắc Ninh</t>
    </r>
  </si>
  <si>
    <t>VTCBVNVX</t>
    <phoneticPr fontId="1" type="noConversion"/>
  </si>
  <si>
    <r>
      <t>CÔNG TY TNHH  KI</t>
    </r>
    <r>
      <rPr>
        <sz val="12"/>
        <color theme="1"/>
        <rFont val="Calibri"/>
        <family val="1"/>
        <charset val="163"/>
      </rPr>
      <t>Ể</t>
    </r>
    <r>
      <rPr>
        <sz val="12"/>
        <color theme="1"/>
        <rFont val="Calibri"/>
        <family val="1"/>
        <charset val="136"/>
        <scheme val="minor"/>
      </rPr>
      <t>M TOÁN AACS</t>
    </r>
    <phoneticPr fontId="1" type="noConversion"/>
  </si>
  <si>
    <t>0181003546950</t>
    <phoneticPr fontId="1" type="noConversion"/>
  </si>
  <si>
    <t>BFTVVNVX018</t>
    <phoneticPr fontId="6" type="noConversion"/>
  </si>
  <si>
    <t>1047723333</t>
    <phoneticPr fontId="1" type="noConversion"/>
  </si>
  <si>
    <t>BFTVVNVX110</t>
    <phoneticPr fontId="1" type="noConversion"/>
  </si>
  <si>
    <t>Vietcombank - Nam Sài Gòn 分行
JOINT STOCK COMMERCIAL BANK FOR FOREIGN TRADE OF VIETNAM BIC</t>
    <phoneticPr fontId="6" type="noConversion"/>
  </si>
  <si>
    <t>支付日期</t>
    <phoneticPr fontId="6" type="noConversion"/>
  </si>
  <si>
    <t>序号</t>
    <phoneticPr fontId="6" type="noConversion"/>
  </si>
  <si>
    <t>支付名目</t>
    <phoneticPr fontId="6" type="noConversion"/>
  </si>
  <si>
    <t>房东</t>
    <phoneticPr fontId="6" type="noConversion"/>
  </si>
  <si>
    <t>消防备案贸易公司办公室</t>
    <phoneticPr fontId="1" type="noConversion"/>
  </si>
  <si>
    <t>KLJ公司服務費-尾款</t>
    <phoneticPr fontId="1" type="noConversion"/>
  </si>
  <si>
    <t>频率</t>
    <phoneticPr fontId="6" type="noConversion"/>
  </si>
  <si>
    <t>每6个月</t>
    <phoneticPr fontId="6" type="noConversion"/>
  </si>
  <si>
    <t>每3个月</t>
    <phoneticPr fontId="6" type="noConversion"/>
  </si>
  <si>
    <t>1次性</t>
    <phoneticPr fontId="6" type="noConversion"/>
  </si>
  <si>
    <t>每个月</t>
    <phoneticPr fontId="6" type="noConversion"/>
  </si>
  <si>
    <t>金额</t>
    <phoneticPr fontId="6" type="noConversion"/>
  </si>
  <si>
    <t>税金</t>
    <phoneticPr fontId="6" type="noConversion"/>
  </si>
  <si>
    <t>未税</t>
    <phoneticPr fontId="6" type="noConversion"/>
  </si>
  <si>
    <t>审计费用-2024年度</t>
    <phoneticPr fontId="6" type="noConversion"/>
  </si>
  <si>
    <t>每年</t>
    <phoneticPr fontId="6" type="noConversion"/>
  </si>
  <si>
    <t>SUNHA会计公司</t>
    <phoneticPr fontId="6" type="noConversion"/>
  </si>
  <si>
    <t>SUNHA会计公司</t>
    <phoneticPr fontId="1" type="noConversion"/>
  </si>
  <si>
    <t>KLJ公司</t>
    <phoneticPr fontId="1" type="noConversion"/>
  </si>
  <si>
    <t>代理记账服务25年6月-8月</t>
    <phoneticPr fontId="1" type="noConversion"/>
  </si>
  <si>
    <t>代理记账服务25年3月-5月</t>
    <phoneticPr fontId="1" type="noConversion"/>
  </si>
  <si>
    <t>公司门牌税2024年-会计公司代付</t>
    <phoneticPr fontId="1" type="noConversion"/>
  </si>
  <si>
    <t>代理记账服务25年12月-2月</t>
    <phoneticPr fontId="1" type="noConversion"/>
  </si>
  <si>
    <t>武先生顾问费24年12月</t>
    <phoneticPr fontId="1" type="noConversion"/>
  </si>
  <si>
    <t>武先生顾问费25年1月</t>
    <phoneticPr fontId="1" type="noConversion"/>
  </si>
  <si>
    <t>武先生顾问费25年2月</t>
    <phoneticPr fontId="1" type="noConversion"/>
  </si>
  <si>
    <t>武先生顾问费25年3月</t>
    <phoneticPr fontId="1" type="noConversion"/>
  </si>
  <si>
    <t>武先生顾问费25年4月</t>
    <phoneticPr fontId="1" type="noConversion"/>
  </si>
  <si>
    <t>武先生顾问费25年5月</t>
    <phoneticPr fontId="1" type="noConversion"/>
  </si>
  <si>
    <t>-</t>
    <phoneticPr fontId="6" type="noConversion"/>
  </si>
  <si>
    <t>武先生顾问费25年6月</t>
    <phoneticPr fontId="1" type="noConversion"/>
  </si>
  <si>
    <t>武先生顾问费25年7月</t>
  </si>
  <si>
    <t>武先生顾问费25年8月</t>
  </si>
  <si>
    <t>武先生顾问费25年9月</t>
  </si>
  <si>
    <t>代理记账服务25年9月-11月</t>
    <phoneticPr fontId="1" type="noConversion"/>
  </si>
  <si>
    <t>支付房租税金24年6月-25年11月</t>
    <phoneticPr fontId="6" type="noConversion"/>
  </si>
  <si>
    <t>星狮工业区泰坦公司</t>
    <phoneticPr fontId="6" type="noConversion"/>
  </si>
  <si>
    <t>第一笔第三季度房租</t>
    <phoneticPr fontId="6" type="noConversion"/>
  </si>
  <si>
    <t>6个月保证金+10%税金</t>
    <phoneticPr fontId="6" type="noConversion"/>
  </si>
  <si>
    <t>VIETCOMBANK HO CHI MINH CITY BRANCH</t>
    <phoneticPr fontId="6" type="noConversion"/>
  </si>
  <si>
    <t xml:space="preserve">CONG TY BAO HIEM PVI PHIA NAM </t>
    <phoneticPr fontId="1" type="noConversion"/>
  </si>
  <si>
    <t>BFTVVNVX007</t>
    <phoneticPr fontId="1" type="noConversion"/>
  </si>
  <si>
    <t>0071005396210</t>
    <phoneticPr fontId="1" type="noConversion"/>
  </si>
  <si>
    <t>BFTVVNVX035</t>
  </si>
  <si>
    <t>Công ty TNHH Yue Teng Vina</t>
    <phoneticPr fontId="6" type="noConversion"/>
  </si>
  <si>
    <t>0351001115514</t>
    <phoneticPr fontId="6" type="noConversion"/>
  </si>
  <si>
    <r>
      <t>TMCP Ngo</t>
    </r>
    <r>
      <rPr>
        <sz val="12"/>
        <color theme="1"/>
        <rFont val="Calibri"/>
        <family val="1"/>
        <charset val="163"/>
      </rPr>
      <t>ạ</t>
    </r>
    <r>
      <rPr>
        <sz val="12"/>
        <color theme="1"/>
        <rFont val="Calibri"/>
        <family val="1"/>
        <charset val="136"/>
        <scheme val="minor"/>
      </rPr>
      <t>i Th</t>
    </r>
    <r>
      <rPr>
        <sz val="12"/>
        <color theme="1"/>
        <rFont val="Segoe UI"/>
        <family val="1"/>
        <charset val="238"/>
      </rPr>
      <t>ươ</t>
    </r>
    <r>
      <rPr>
        <sz val="12"/>
        <color theme="1"/>
        <rFont val="Calibri"/>
        <family val="1"/>
        <charset val="136"/>
        <scheme val="minor"/>
      </rPr>
      <t>ng Vi</t>
    </r>
    <r>
      <rPr>
        <sz val="12"/>
        <color theme="1"/>
        <rFont val="Calibri"/>
        <family val="1"/>
        <charset val="163"/>
      </rPr>
      <t>ệ</t>
    </r>
    <r>
      <rPr>
        <sz val="12"/>
        <color theme="1"/>
        <rFont val="Calibri"/>
        <family val="1"/>
        <charset val="136"/>
        <scheme val="minor"/>
      </rPr>
      <t>t Nam,chi nhánh B</t>
    </r>
    <r>
      <rPr>
        <sz val="12"/>
        <color theme="1"/>
        <rFont val="Calibri"/>
        <family val="1"/>
        <charset val="163"/>
      </rPr>
      <t>ắ</t>
    </r>
    <r>
      <rPr>
        <sz val="12"/>
        <color theme="1"/>
        <rFont val="Calibri"/>
        <family val="1"/>
        <charset val="136"/>
        <scheme val="minor"/>
      </rPr>
      <t>c Ninh (Vietcombank)</t>
    </r>
    <phoneticPr fontId="6" type="noConversion"/>
  </si>
  <si>
    <t>厂房装修第二笔费用</t>
    <phoneticPr fontId="6" type="noConversion"/>
  </si>
  <si>
    <t>10160500</t>
    <phoneticPr fontId="6" type="noConversion"/>
  </si>
  <si>
    <t>台湾打头搓牙设备关税费用</t>
    <phoneticPr fontId="6" type="noConversion"/>
  </si>
  <si>
    <t>CONG TY TNHH GIAO NHAN YJT VIET NAM</t>
    <phoneticPr fontId="6" type="noConversion"/>
  </si>
  <si>
    <t>9897666666</t>
    <phoneticPr fontId="6" type="noConversion"/>
  </si>
  <si>
    <t>Military Commercial Joint Stock Bank (MB) - Hoan Kiem Branch, Hanoi, Vietnam</t>
    <phoneticPr fontId="6" type="noConversion"/>
  </si>
  <si>
    <t>MSCBVNVX</t>
    <phoneticPr fontId="6" type="noConversion"/>
  </si>
  <si>
    <t>海关打点费用</t>
    <phoneticPr fontId="6" type="noConversion"/>
  </si>
  <si>
    <t>叉车租赁费用</t>
    <phoneticPr fontId="6" type="noConversion"/>
  </si>
  <si>
    <t>武先生顾问费25年10月</t>
    <phoneticPr fontId="6" type="noConversion"/>
  </si>
  <si>
    <t>VNIC顾问服务费</t>
    <phoneticPr fontId="6" type="noConversion"/>
  </si>
  <si>
    <t>VNIC顾问公司</t>
    <phoneticPr fontId="6" type="noConversion"/>
  </si>
  <si>
    <t>CCD筛选机报关费</t>
    <phoneticPr fontId="6" type="noConversion"/>
  </si>
  <si>
    <t>武长江代垫付</t>
    <phoneticPr fontId="6" type="noConversion"/>
  </si>
  <si>
    <t>厂房装修第三笔费用</t>
    <phoneticPr fontId="6" type="noConversion"/>
  </si>
  <si>
    <t>支付PVI保险费用</t>
    <phoneticPr fontId="6" type="noConversion"/>
  </si>
  <si>
    <t>PVI保险公司</t>
    <phoneticPr fontId="6" type="noConversion"/>
  </si>
  <si>
    <t>CCD筛选机费用</t>
    <phoneticPr fontId="6" type="noConversion"/>
  </si>
  <si>
    <t>瑞科</t>
    <phoneticPr fontId="6" type="noConversion"/>
  </si>
  <si>
    <t>支付工厂10月份电费、水费、污水费</t>
    <phoneticPr fontId="6" type="noConversion"/>
  </si>
  <si>
    <t>厂房装修增项费用</t>
    <phoneticPr fontId="6" type="noConversion"/>
  </si>
  <si>
    <t>越腾公司</t>
    <phoneticPr fontId="6" type="noConversion"/>
  </si>
  <si>
    <t>手动液压叉车费用</t>
    <phoneticPr fontId="6" type="noConversion"/>
  </si>
  <si>
    <t>现金付款-江副理</t>
    <phoneticPr fontId="6" type="noConversion"/>
  </si>
  <si>
    <t>越南杰瑞机械</t>
    <phoneticPr fontId="6" type="noConversion"/>
  </si>
  <si>
    <t>台湾进口设备卸货</t>
    <phoneticPr fontId="6" type="noConversion"/>
  </si>
  <si>
    <t>星狮工业区租金和押金8月</t>
    <phoneticPr fontId="6" type="noConversion"/>
  </si>
  <si>
    <t>星狮工业区租金和押金9月</t>
    <phoneticPr fontId="6" type="noConversion"/>
  </si>
  <si>
    <t>第四季度房租</t>
    <phoneticPr fontId="6" type="noConversion"/>
  </si>
  <si>
    <t>银行</t>
    <phoneticPr fontId="6" type="noConversion"/>
  </si>
  <si>
    <t>账号</t>
    <phoneticPr fontId="6" type="noConversion"/>
  </si>
  <si>
    <t>户名</t>
    <phoneticPr fontId="6" type="noConversion"/>
  </si>
  <si>
    <t>母公司支付</t>
    <phoneticPr fontId="6" type="noConversion"/>
  </si>
  <si>
    <t>KLJ公司服務費-定金</t>
    <phoneticPr fontId="1" type="noConversion"/>
  </si>
  <si>
    <t>磨床、卧式车床、砂轮机、台钻费用</t>
    <phoneticPr fontId="6" type="noConversion"/>
  </si>
  <si>
    <t>CT TNHH MAY CO KHI JIERUI (VIET NAM)</t>
    <phoneticPr fontId="6" type="noConversion"/>
  </si>
  <si>
    <t>Joint Stock commercial bank for Foreign Trade of Vietnam, Bac Ninh Branch</t>
    <phoneticPr fontId="6" type="noConversion"/>
  </si>
  <si>
    <t>0351001149579</t>
    <phoneticPr fontId="6" type="noConversion"/>
  </si>
  <si>
    <t>BFTVVNVX035</t>
    <phoneticPr fontId="6" type="noConversion"/>
  </si>
  <si>
    <t>待通知</t>
    <phoneticPr fontId="6" type="noConversion"/>
  </si>
  <si>
    <r>
      <t>Tên Ng</t>
    </r>
    <r>
      <rPr>
        <sz val="12"/>
        <color theme="1"/>
        <rFont val="Segoe UI"/>
        <family val="1"/>
        <charset val="238"/>
      </rPr>
      <t>ư</t>
    </r>
    <r>
      <rPr>
        <sz val="12"/>
        <color theme="1"/>
        <rFont val="Calibri"/>
        <family val="1"/>
        <charset val="163"/>
      </rPr>
      <t>ờ</t>
    </r>
    <r>
      <rPr>
        <sz val="12"/>
        <color theme="1"/>
        <rFont val="Calibri"/>
        <family val="1"/>
        <charset val="136"/>
        <scheme val="minor"/>
      </rPr>
      <t>i th</t>
    </r>
    <r>
      <rPr>
        <sz val="12"/>
        <color theme="1"/>
        <rFont val="Calibri"/>
        <family val="1"/>
        <charset val="163"/>
      </rPr>
      <t>ụ</t>
    </r>
    <r>
      <rPr>
        <sz val="12"/>
        <color theme="1"/>
        <rFont val="Calibri"/>
        <family val="1"/>
        <charset val="136"/>
        <scheme val="minor"/>
      </rPr>
      <t xml:space="preserve"> H</t>
    </r>
    <r>
      <rPr>
        <sz val="12"/>
        <color theme="1"/>
        <rFont val="Segoe UI"/>
        <family val="1"/>
        <charset val="238"/>
      </rPr>
      <t>ư</t>
    </r>
    <r>
      <rPr>
        <sz val="12"/>
        <color theme="1"/>
        <rFont val="Calibri"/>
        <family val="1"/>
        <charset val="163"/>
      </rPr>
      <t>ở</t>
    </r>
    <r>
      <rPr>
        <sz val="12"/>
        <color theme="1"/>
        <rFont val="Calibri"/>
        <family val="1"/>
        <charset val="136"/>
        <scheme val="minor"/>
      </rPr>
      <t>ng : CÔNG TY TNHH VI</t>
    </r>
    <r>
      <rPr>
        <sz val="12"/>
        <color theme="1"/>
        <rFont val="Calibri"/>
        <family val="1"/>
        <charset val="163"/>
      </rPr>
      <t>Ệ</t>
    </r>
    <r>
      <rPr>
        <sz val="12"/>
        <color theme="1"/>
        <rFont val="Calibri"/>
        <family val="1"/>
        <charset val="136"/>
        <scheme val="minor"/>
      </rPr>
      <t>T NAM INVESTMENT CONSULTING</t>
    </r>
    <phoneticPr fontId="6" type="noConversion"/>
  </si>
  <si>
    <r>
      <t xml:space="preserve">TMCP QUÂN </t>
    </r>
    <r>
      <rPr>
        <sz val="12"/>
        <color theme="1"/>
        <rFont val="Segoe UI"/>
        <family val="1"/>
        <charset val="238"/>
      </rPr>
      <t>Đ</t>
    </r>
    <r>
      <rPr>
        <sz val="12"/>
        <color theme="1"/>
        <rFont val="Calibri"/>
        <family val="1"/>
        <charset val="163"/>
      </rPr>
      <t>Ộ</t>
    </r>
    <r>
      <rPr>
        <sz val="12"/>
        <color theme="1"/>
        <rFont val="Calibri"/>
        <family val="1"/>
        <charset val="136"/>
        <scheme val="minor"/>
      </rPr>
      <t>I VI</t>
    </r>
    <r>
      <rPr>
        <sz val="12"/>
        <color theme="1"/>
        <rFont val="Calibri"/>
        <family val="1"/>
        <charset val="163"/>
      </rPr>
      <t>Ệ</t>
    </r>
    <r>
      <rPr>
        <sz val="12"/>
        <color theme="1"/>
        <rFont val="Calibri"/>
        <family val="1"/>
        <charset val="136"/>
        <scheme val="minor"/>
      </rPr>
      <t>T NAM</t>
    </r>
    <phoneticPr fontId="6" type="noConversion"/>
  </si>
  <si>
    <t>0351338628888</t>
    <phoneticPr fontId="6" type="noConversion"/>
  </si>
  <si>
    <t>MSCBVNVX010</t>
    <phoneticPr fontId="6" type="noConversion"/>
  </si>
  <si>
    <r>
      <t xml:space="preserve">TMCP Quân </t>
    </r>
    <r>
      <rPr>
        <sz val="12"/>
        <color theme="1"/>
        <rFont val="Segoe UI"/>
        <family val="1"/>
        <charset val="238"/>
      </rPr>
      <t>Đ</t>
    </r>
    <r>
      <rPr>
        <sz val="12"/>
        <color theme="1"/>
        <rFont val="Calibri"/>
        <family val="1"/>
        <charset val="163"/>
      </rPr>
      <t>ộ</t>
    </r>
    <r>
      <rPr>
        <sz val="12"/>
        <color theme="1"/>
        <rFont val="Calibri"/>
        <family val="1"/>
        <charset val="136"/>
        <scheme val="minor"/>
      </rPr>
      <t>i (MB Bank) - Chi nhánh: Yên Phong.</t>
    </r>
    <phoneticPr fontId="6" type="noConversion"/>
  </si>
  <si>
    <r>
      <t>Công ty TNHH MINH HI</t>
    </r>
    <r>
      <rPr>
        <sz val="12"/>
        <color theme="1"/>
        <rFont val="Calibri"/>
        <family val="1"/>
        <charset val="163"/>
      </rPr>
      <t>Ế</t>
    </r>
    <r>
      <rPr>
        <sz val="12"/>
        <color theme="1"/>
        <rFont val="Calibri"/>
        <family val="1"/>
        <charset val="136"/>
        <scheme val="minor"/>
      </rPr>
      <t>U DIAMOND</t>
    </r>
    <phoneticPr fontId="6" type="noConversion"/>
  </si>
  <si>
    <t>8868899898888</t>
    <phoneticPr fontId="6" type="noConversion"/>
  </si>
  <si>
    <t>单人间540万/月，订4间，签6个月+1个月押金。11/15开始</t>
    <phoneticPr fontId="6" type="noConversion"/>
  </si>
  <si>
    <t>房屋押金(上海格琳支持改越南支出)</t>
    <phoneticPr fontId="6" type="noConversion"/>
  </si>
  <si>
    <t>还给上海格琳</t>
    <phoneticPr fontId="6" type="noConversion"/>
  </si>
  <si>
    <t>押金</t>
    <phoneticPr fontId="6" type="noConversion"/>
  </si>
  <si>
    <t>补房租+10%税金+押金1亿越南盾</t>
    <phoneticPr fontId="6" type="noConversion"/>
  </si>
  <si>
    <t>厂房装修第一笔费用</t>
    <phoneticPr fontId="6" type="noConversion"/>
  </si>
  <si>
    <t>VNIC顾问服务费</t>
  </si>
  <si>
    <t>VNIC顾问公司</t>
  </si>
  <si>
    <t>进口设备关税费用</t>
    <phoneticPr fontId="6" type="noConversion"/>
  </si>
  <si>
    <t>物流公司</t>
    <phoneticPr fontId="6" type="noConversion"/>
  </si>
  <si>
    <t>海关打点费</t>
    <phoneticPr fontId="6" type="noConversion"/>
  </si>
  <si>
    <t>武先生顾问费25年11月</t>
    <phoneticPr fontId="6" type="noConversion"/>
  </si>
  <si>
    <t>SMBCVNVX</t>
    <phoneticPr fontId="6" type="noConversion"/>
  </si>
  <si>
    <t xml:space="preserve">Sumitomo Mitsui Banking Corporation  </t>
    <phoneticPr fontId="6" type="noConversion"/>
  </si>
  <si>
    <t xml:space="preserve">TITAN CORPORATION INDUSTRIAL 2 (BAC NINH) 
COMPANY LIMITED  </t>
    <phoneticPr fontId="6" type="noConversion"/>
  </si>
  <si>
    <r>
      <t>工厂10月电费1,064,236</t>
    </r>
    <r>
      <rPr>
        <sz val="12"/>
        <color theme="1"/>
        <rFont val="Calibri"/>
        <family val="1"/>
        <charset val="163"/>
      </rPr>
      <t>₫</t>
    </r>
    <r>
      <rPr>
        <sz val="12"/>
        <color theme="1"/>
        <rFont val="Calibri"/>
        <family val="1"/>
        <charset val="136"/>
        <scheme val="minor"/>
      </rPr>
      <t>、水费11,180</t>
    </r>
    <r>
      <rPr>
        <sz val="12"/>
        <color theme="1"/>
        <rFont val="Calibri"/>
        <family val="1"/>
        <charset val="163"/>
      </rPr>
      <t>₫</t>
    </r>
    <r>
      <rPr>
        <sz val="12"/>
        <color theme="1"/>
        <rFont val="Calibri"/>
        <family val="1"/>
        <charset val="136"/>
        <scheme val="minor"/>
      </rPr>
      <t>、污水费19,664</t>
    </r>
    <r>
      <rPr>
        <sz val="12"/>
        <color theme="1"/>
        <rFont val="Calibri"/>
        <family val="1"/>
        <charset val="163"/>
      </rPr>
      <t>₫</t>
    </r>
    <phoneticPr fontId="6" type="noConversion"/>
  </si>
  <si>
    <t>7431100020005</t>
    <phoneticPr fontId="6" type="noConversion"/>
  </si>
  <si>
    <t>Military Commercial Joint Stock Bank - Hoang Quoc Viet Branch</t>
    <phoneticPr fontId="6" type="noConversion"/>
  </si>
  <si>
    <t>ABT电力公司</t>
    <phoneticPr fontId="6" type="noConversion"/>
  </si>
  <si>
    <t>支付ABT电力公司施工材料费</t>
    <phoneticPr fontId="6" type="noConversion"/>
  </si>
  <si>
    <t>公司电网接线施工费用</t>
    <phoneticPr fontId="6" type="noConversion"/>
  </si>
  <si>
    <t>支付塑胶栈板费用</t>
    <phoneticPr fontId="6" type="noConversion"/>
  </si>
  <si>
    <t>明大责任公司</t>
    <phoneticPr fontId="6" type="noConversion"/>
  </si>
  <si>
    <t>CONG TY TNHH MINH DAI</t>
    <phoneticPr fontId="6" type="noConversion"/>
  </si>
  <si>
    <t>贸易公司房租25年6月-11月</t>
    <phoneticPr fontId="1" type="noConversion"/>
  </si>
  <si>
    <t>贸易公司房租24年12月-25年5月</t>
    <phoneticPr fontId="1" type="noConversion"/>
  </si>
  <si>
    <t>贸易公司房租24年6月-11月</t>
    <phoneticPr fontId="6" type="noConversion"/>
  </si>
  <si>
    <t>贸易公司房租25年12月-26年5月</t>
    <phoneticPr fontId="1" type="noConversion"/>
  </si>
  <si>
    <t>ABT VIET NAM ELECTRIC ., JSC</t>
    <phoneticPr fontId="6" type="noConversion"/>
  </si>
  <si>
    <t>ICBVVNVX285</t>
    <phoneticPr fontId="6" type="noConversion"/>
  </si>
  <si>
    <t>116002867115</t>
    <phoneticPr fontId="6" type="noConversion"/>
  </si>
  <si>
    <r>
      <t xml:space="preserve">CÔNG TY TNHH MINH </t>
    </r>
    <r>
      <rPr>
        <sz val="12"/>
        <color theme="1"/>
        <rFont val="Arial"/>
        <family val="1"/>
        <charset val="238"/>
      </rPr>
      <t>Đ</t>
    </r>
    <r>
      <rPr>
        <sz val="12"/>
        <color theme="1"/>
        <rFont val="Calibri"/>
        <family val="1"/>
        <charset val="163"/>
      </rPr>
      <t>Ạ</t>
    </r>
    <r>
      <rPr>
        <sz val="12"/>
        <color theme="1"/>
        <rFont val="Calibri"/>
        <family val="1"/>
        <charset val="136"/>
        <scheme val="minor"/>
      </rPr>
      <t>I</t>
    </r>
    <phoneticPr fontId="6" type="noConversion"/>
  </si>
  <si>
    <t>台式电脑购买(2台、1台中文、1台越文)</t>
    <phoneticPr fontId="6" type="noConversion"/>
  </si>
  <si>
    <t>QM电脑公司</t>
    <phoneticPr fontId="6" type="noConversion"/>
  </si>
  <si>
    <t>1052875622</t>
    <phoneticPr fontId="6" type="noConversion"/>
  </si>
  <si>
    <r>
      <t>Công ty TNHH Công ngh</t>
    </r>
    <r>
      <rPr>
        <sz val="12"/>
        <color theme="1"/>
        <rFont val="Calibri"/>
        <family val="1"/>
        <charset val="163"/>
      </rPr>
      <t>ệ</t>
    </r>
    <r>
      <rPr>
        <sz val="12"/>
        <color theme="1"/>
        <rFont val="Calibri"/>
        <family val="1"/>
        <charset val="136"/>
        <scheme val="minor"/>
      </rPr>
      <t xml:space="preserve"> Quang Minh B</t>
    </r>
    <r>
      <rPr>
        <sz val="12"/>
        <color theme="1"/>
        <rFont val="Calibri"/>
        <family val="1"/>
        <charset val="163"/>
      </rPr>
      <t>ắ</t>
    </r>
    <r>
      <rPr>
        <sz val="12"/>
        <color theme="1"/>
        <rFont val="Calibri"/>
        <family val="1"/>
        <charset val="136"/>
        <scheme val="minor"/>
      </rPr>
      <t>c Ninh</t>
    </r>
    <phoneticPr fontId="6" type="noConversion"/>
  </si>
  <si>
    <t>BFTVVNVX</t>
    <phoneticPr fontId="6" type="noConversion"/>
  </si>
  <si>
    <r>
      <t>Ngân hàng TMCP Ngo</t>
    </r>
    <r>
      <rPr>
        <sz val="12"/>
        <color theme="1"/>
        <rFont val="Calibri"/>
        <family val="1"/>
        <charset val="163"/>
      </rPr>
      <t>ạ</t>
    </r>
    <r>
      <rPr>
        <sz val="12"/>
        <color theme="1"/>
        <rFont val="Calibri"/>
        <family val="1"/>
        <charset val="136"/>
        <scheme val="minor"/>
      </rPr>
      <t>i th</t>
    </r>
    <r>
      <rPr>
        <sz val="12"/>
        <color theme="1"/>
        <rFont val="Segoe UI"/>
        <family val="1"/>
        <charset val="238"/>
      </rPr>
      <t>ươ</t>
    </r>
    <r>
      <rPr>
        <sz val="12"/>
        <color theme="1"/>
        <rFont val="Calibri"/>
        <family val="1"/>
        <charset val="136"/>
        <scheme val="minor"/>
      </rPr>
      <t>ng Vi</t>
    </r>
    <r>
      <rPr>
        <sz val="12"/>
        <color theme="1"/>
        <rFont val="Calibri"/>
        <family val="1"/>
        <charset val="163"/>
      </rPr>
      <t>ệ</t>
    </r>
    <r>
      <rPr>
        <sz val="12"/>
        <color theme="1"/>
        <rFont val="Calibri"/>
        <family val="1"/>
        <charset val="136"/>
        <scheme val="minor"/>
      </rPr>
      <t xml:space="preserve">t Nam (Vietcombank) </t>
    </r>
    <phoneticPr fontId="6" type="noConversion"/>
  </si>
  <si>
    <t>VIEN THONG BAC NINH</t>
    <phoneticPr fontId="6" type="noConversion"/>
  </si>
  <si>
    <t>2502201001123</t>
    <phoneticPr fontId="6" type="noConversion"/>
  </si>
  <si>
    <t>Vietnam Bank for Agriculture and Rural Development， Dinh Tram Industrial Zone Branch</t>
    <phoneticPr fontId="6" type="noConversion"/>
  </si>
  <si>
    <t>VBAAVNVX240</t>
    <phoneticPr fontId="6" type="noConversion"/>
  </si>
  <si>
    <t>网路使用费550万越南盾/月(含10%税费)，支付12个月送2个月</t>
    <phoneticPr fontId="6" type="noConversion"/>
  </si>
  <si>
    <t>支付网路公司费用</t>
    <phoneticPr fontId="6" type="noConversion"/>
  </si>
  <si>
    <t>VIEN THONG公司</t>
    <phoneticPr fontId="6" type="noConversion"/>
  </si>
  <si>
    <t>现金</t>
    <phoneticPr fontId="6" type="noConversion"/>
  </si>
  <si>
    <t>2025/10/01~2025/10/31</t>
    <phoneticPr fontId="1" type="noConversion"/>
  </si>
  <si>
    <t>BIDV供电服务押金6000万,要求转1亿过去</t>
    <phoneticPr fontId="6" type="noConversion"/>
  </si>
  <si>
    <t>12/1退回</t>
    <phoneticPr fontId="6" type="noConversion"/>
  </si>
  <si>
    <t>Glam公司BIDV账号</t>
    <phoneticPr fontId="6" type="noConversion"/>
  </si>
  <si>
    <t>GLAM ELECTRONICS COMPANYLMITED</t>
    <phoneticPr fontId="6" type="noConversion"/>
  </si>
  <si>
    <t>BIDVVNVX</t>
    <phoneticPr fontId="6" type="noConversion"/>
  </si>
  <si>
    <t>电力买卖合同里面写需要在银行出具6000万越南盾的担保函
银行让我们放1亿越南盾在BIDV的账户里面</t>
    <phoneticPr fontId="6" type="noConversion"/>
  </si>
  <si>
    <t>Investment and Development of Vietnam - Kinh BacBranch</t>
    <phoneticPr fontId="6" type="noConversion"/>
  </si>
  <si>
    <t>公寓酒店</t>
    <phoneticPr fontId="6" type="noConversion"/>
  </si>
  <si>
    <t>住宿租房费用</t>
    <phoneticPr fontId="6" type="noConversion"/>
  </si>
  <si>
    <t>佳能多功能印表机、A4打印纸1箱</t>
    <phoneticPr fontId="6" type="noConversion"/>
  </si>
  <si>
    <t>多功能印表机、A4打印纸一箱</t>
    <phoneticPr fontId="6" type="noConversion"/>
  </si>
  <si>
    <t>ISO9001、ISO14001体系费用支付</t>
    <phoneticPr fontId="6" type="noConversion"/>
  </si>
  <si>
    <t>报关行第一批进口设备清关费用</t>
    <phoneticPr fontId="6" type="noConversion"/>
  </si>
  <si>
    <t>CONG TY TNHH GIAO NHAN YJT VIET NAM</t>
  </si>
  <si>
    <r>
      <t>NGÂN HÀNG MB BANK - CHI NHÁNH S</t>
    </r>
    <r>
      <rPr>
        <sz val="12"/>
        <color theme="1"/>
        <rFont val="Calibri"/>
        <family val="2"/>
        <charset val="163"/>
      </rPr>
      <t>Ở</t>
    </r>
    <r>
      <rPr>
        <sz val="12"/>
        <color theme="1"/>
        <rFont val="Calibri"/>
        <family val="2"/>
        <charset val="136"/>
        <scheme val="minor"/>
      </rPr>
      <t xml:space="preserve"> GIAO D</t>
    </r>
    <r>
      <rPr>
        <sz val="12"/>
        <color theme="1"/>
        <rFont val="Calibri"/>
        <family val="2"/>
        <charset val="163"/>
      </rPr>
      <t>Ị</t>
    </r>
    <r>
      <rPr>
        <sz val="12"/>
        <color theme="1"/>
        <rFont val="Calibri"/>
        <family val="2"/>
        <charset val="136"/>
        <scheme val="minor"/>
      </rPr>
      <t>CH 1</t>
    </r>
    <phoneticPr fontId="6" type="noConversion"/>
  </si>
  <si>
    <t>CONG TY DV TU VAN QUAN LY DN BEST</t>
    <phoneticPr fontId="6" type="noConversion"/>
  </si>
  <si>
    <t>超赞企业管理咨询服务有限公司</t>
    <phoneticPr fontId="6" type="noConversion"/>
  </si>
  <si>
    <t>ISO9001/ISO14001的审核费用</t>
    <phoneticPr fontId="6" type="noConversion"/>
  </si>
  <si>
    <t>113634346688</t>
    <phoneticPr fontId="6" type="noConversion"/>
  </si>
  <si>
    <t>ICBVVNVX289</t>
    <phoneticPr fontId="6" type="noConversion"/>
  </si>
  <si>
    <t>NGÃN HÃNG TMCP CÓNG THUONG VIÈT NAM</t>
    <phoneticPr fontId="6" type="noConversion"/>
  </si>
  <si>
    <t>BIDV供电服务押金6000万</t>
    <phoneticPr fontId="6" type="noConversion"/>
  </si>
  <si>
    <t>电力买卖合同里面写需要在银行出具6000万越南盾的担保函</t>
    <phoneticPr fontId="6" type="noConversion"/>
  </si>
  <si>
    <t>JSC Bank for Investment and Development of Vietnam - Kinh BacBranch</t>
    <phoneticPr fontId="6" type="noConversion"/>
  </si>
  <si>
    <t>GLAM ELECTRONICS COMPANY LIMITED</t>
    <phoneticPr fontId="6" type="noConversion"/>
  </si>
  <si>
    <t>8660081841</t>
    <phoneticPr fontId="6" type="noConversion"/>
  </si>
  <si>
    <t>AQUATECH COMPUTER TECHNOLOGY JOINT STOCK COMPANY</t>
    <phoneticPr fontId="6" type="noConversion"/>
  </si>
  <si>
    <t>AQUATECH电脑公司</t>
    <phoneticPr fontId="6" type="noConversion"/>
  </si>
  <si>
    <t>CÓNG TY TNHH KLJ VINA</t>
    <phoneticPr fontId="6" type="noConversion"/>
  </si>
  <si>
    <t>NgÃn hang Vietcombank Chi nhÃánh BÃc Ninh</t>
    <phoneticPr fontId="6" type="noConversion"/>
  </si>
  <si>
    <t>BFTVVNVX018</t>
    <phoneticPr fontId="1" type="noConversion"/>
  </si>
  <si>
    <t>支付工厂11月份电费、水费、污水费</t>
    <phoneticPr fontId="6" type="noConversion"/>
  </si>
  <si>
    <r>
      <t>工厂11月电费1,791,307</t>
    </r>
    <r>
      <rPr>
        <sz val="12"/>
        <color theme="1"/>
        <rFont val="Calibri"/>
        <family val="1"/>
        <charset val="163"/>
      </rPr>
      <t>₫</t>
    </r>
    <r>
      <rPr>
        <sz val="12"/>
        <color theme="1"/>
        <rFont val="Calibri"/>
        <family val="1"/>
        <charset val="136"/>
        <scheme val="minor"/>
      </rPr>
      <t>、水费44,721</t>
    </r>
    <r>
      <rPr>
        <sz val="12"/>
        <color theme="1"/>
        <rFont val="Calibri"/>
        <family val="1"/>
        <charset val="163"/>
      </rPr>
      <t>₫</t>
    </r>
    <r>
      <rPr>
        <sz val="12"/>
        <color theme="1"/>
        <rFont val="Calibri"/>
        <family val="1"/>
        <charset val="136"/>
        <scheme val="minor"/>
      </rPr>
      <t>、污水费78,656</t>
    </r>
    <r>
      <rPr>
        <sz val="12"/>
        <color theme="1"/>
        <rFont val="Calibri"/>
        <family val="1"/>
        <charset val="163"/>
      </rPr>
      <t>₫</t>
    </r>
    <phoneticPr fontId="6" type="noConversion"/>
  </si>
  <si>
    <t>说明</t>
    <phoneticPr fontId="6" type="noConversion"/>
  </si>
  <si>
    <t>YJT报关公司</t>
    <phoneticPr fontId="6" type="noConversion"/>
  </si>
  <si>
    <t>NGUYEN THI NANG</t>
    <phoneticPr fontId="6" type="noConversion"/>
  </si>
  <si>
    <t>NGUYEN BA SANG</t>
    <phoneticPr fontId="6" type="noConversion"/>
  </si>
  <si>
    <t>报关行进口设备关税费用</t>
    <phoneticPr fontId="6" type="noConversion"/>
  </si>
  <si>
    <t>支付11月份工资-阮氏能</t>
    <phoneticPr fontId="6" type="noConversion"/>
  </si>
  <si>
    <t>支付11月份工资-阮巴桑</t>
    <phoneticPr fontId="6" type="noConversion"/>
  </si>
  <si>
    <t>阮氏能</t>
    <phoneticPr fontId="6" type="noConversion"/>
  </si>
  <si>
    <t>阮巴桑</t>
    <phoneticPr fontId="6" type="noConversion"/>
  </si>
  <si>
    <t>每月</t>
    <phoneticPr fontId="6" type="noConversion"/>
  </si>
  <si>
    <t>MISA会计软件购买</t>
    <phoneticPr fontId="6" type="noConversion"/>
  </si>
  <si>
    <t>3年</t>
    <phoneticPr fontId="6" type="noConversion"/>
  </si>
  <si>
    <t>MISA总部</t>
    <phoneticPr fontId="6" type="noConversion"/>
  </si>
  <si>
    <t>3年使用权</t>
    <phoneticPr fontId="6" type="noConversion"/>
  </si>
  <si>
    <t>KEYTIME会计公司</t>
    <phoneticPr fontId="6" type="noConversion"/>
  </si>
  <si>
    <t>6个月</t>
    <phoneticPr fontId="6" type="noConversion"/>
  </si>
  <si>
    <r>
      <t xml:space="preserve">Ngân hàng TMCP </t>
    </r>
    <r>
      <rPr>
        <sz val="12"/>
        <color theme="1"/>
        <rFont val="Segoe UI"/>
        <family val="2"/>
        <charset val="238"/>
      </rPr>
      <t>Đ</t>
    </r>
    <r>
      <rPr>
        <sz val="12"/>
        <color theme="1"/>
        <rFont val="Calibri"/>
        <family val="2"/>
        <charset val="163"/>
      </rPr>
      <t>ầ</t>
    </r>
    <r>
      <rPr>
        <sz val="12"/>
        <color theme="1"/>
        <rFont val="Calibri"/>
        <family val="2"/>
        <charset val="136"/>
        <scheme val="minor"/>
      </rPr>
      <t>u t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Calibri"/>
        <family val="2"/>
        <charset val="136"/>
        <scheme val="minor"/>
      </rPr>
      <t xml:space="preserve"> và phát tri</t>
    </r>
    <r>
      <rPr>
        <sz val="12"/>
        <color theme="1"/>
        <rFont val="Calibri"/>
        <family val="2"/>
        <charset val="163"/>
      </rPr>
      <t>ể</t>
    </r>
    <r>
      <rPr>
        <sz val="12"/>
        <color theme="1"/>
        <rFont val="Calibri"/>
        <family val="2"/>
        <charset val="136"/>
        <scheme val="minor"/>
      </rPr>
      <t>n Vi</t>
    </r>
    <r>
      <rPr>
        <sz val="12"/>
        <color theme="1"/>
        <rFont val="Calibri"/>
        <family val="2"/>
        <charset val="163"/>
      </rPr>
      <t>ệ</t>
    </r>
    <r>
      <rPr>
        <sz val="12"/>
        <color theme="1"/>
        <rFont val="Calibri"/>
        <family val="2"/>
        <charset val="136"/>
        <scheme val="minor"/>
      </rPr>
      <t>t Nam</t>
    </r>
    <phoneticPr fontId="6" type="noConversion"/>
  </si>
  <si>
    <t>ASCBVNVX</t>
    <phoneticPr fontId="6" type="noConversion"/>
  </si>
  <si>
    <r>
      <t>Công ty C</t>
    </r>
    <r>
      <rPr>
        <sz val="12"/>
        <color theme="1"/>
        <rFont val="Calibri"/>
        <family val="2"/>
        <charset val="163"/>
      </rPr>
      <t>ổ</t>
    </r>
    <r>
      <rPr>
        <sz val="12"/>
        <color theme="1"/>
        <rFont val="Calibri"/>
        <family val="2"/>
        <charset val="136"/>
        <scheme val="minor"/>
      </rPr>
      <t xml:space="preserve"> ph</t>
    </r>
    <r>
      <rPr>
        <sz val="12"/>
        <color theme="1"/>
        <rFont val="Calibri"/>
        <family val="2"/>
        <charset val="163"/>
      </rPr>
      <t>ầ</t>
    </r>
    <r>
      <rPr>
        <sz val="12"/>
        <color theme="1"/>
        <rFont val="Calibri"/>
        <family val="2"/>
        <charset val="136"/>
        <scheme val="minor"/>
      </rPr>
      <t>n MISA</t>
    </r>
    <phoneticPr fontId="6" type="noConversion"/>
  </si>
  <si>
    <r>
      <t xml:space="preserve">CÔNG TY TNHH </t>
    </r>
    <r>
      <rPr>
        <sz val="12"/>
        <color theme="1"/>
        <rFont val="Segoe UI"/>
        <family val="2"/>
        <charset val="238"/>
      </rPr>
      <t>Đ</t>
    </r>
    <r>
      <rPr>
        <sz val="12"/>
        <color theme="1"/>
        <rFont val="Calibri"/>
        <family val="2"/>
        <charset val="163"/>
      </rPr>
      <t>Ầ</t>
    </r>
    <r>
      <rPr>
        <sz val="12"/>
        <color theme="1"/>
        <rFont val="Calibri"/>
        <family val="2"/>
        <charset val="136"/>
        <scheme val="minor"/>
      </rPr>
      <t>U T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Calibri"/>
        <family val="2"/>
        <charset val="136"/>
        <scheme val="minor"/>
      </rPr>
      <t xml:space="preserve"> KEYTIME</t>
    </r>
    <phoneticPr fontId="6" type="noConversion"/>
  </si>
  <si>
    <r>
      <t xml:space="preserve">Ngân hàng TMCP </t>
    </r>
    <r>
      <rPr>
        <sz val="12"/>
        <color theme="1"/>
        <rFont val="Segoe UI"/>
        <family val="2"/>
        <charset val="238"/>
      </rPr>
      <t>Đ</t>
    </r>
    <r>
      <rPr>
        <sz val="12"/>
        <color theme="1"/>
        <rFont val="Calibri"/>
        <family val="2"/>
        <charset val="163"/>
      </rPr>
      <t>ầ</t>
    </r>
    <r>
      <rPr>
        <sz val="12"/>
        <color theme="1"/>
        <rFont val="Calibri"/>
        <family val="2"/>
        <charset val="136"/>
        <scheme val="minor"/>
      </rPr>
      <t>u t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Calibri"/>
        <family val="2"/>
        <charset val="136"/>
        <scheme val="minor"/>
      </rPr>
      <t xml:space="preserve"> và Phát tri</t>
    </r>
    <r>
      <rPr>
        <sz val="12"/>
        <color theme="1"/>
        <rFont val="Calibri"/>
        <family val="2"/>
        <charset val="163"/>
      </rPr>
      <t>ể</t>
    </r>
    <r>
      <rPr>
        <sz val="12"/>
        <color theme="1"/>
        <rFont val="Calibri"/>
        <family val="2"/>
        <charset val="136"/>
        <scheme val="minor"/>
      </rPr>
      <t>n - chi nhánh Kinh B</t>
    </r>
    <r>
      <rPr>
        <sz val="12"/>
        <color theme="1"/>
        <rFont val="Calibri"/>
        <family val="2"/>
        <charset val="163"/>
      </rPr>
      <t>ắ</t>
    </r>
    <r>
      <rPr>
        <sz val="12"/>
        <color theme="1"/>
        <rFont val="Calibri"/>
        <family val="2"/>
        <charset val="136"/>
        <scheme val="minor"/>
      </rPr>
      <t>c</t>
    </r>
    <phoneticPr fontId="6" type="noConversion"/>
  </si>
  <si>
    <t>10/17 出货机器
再次确认重新申请付款</t>
    <phoneticPr fontId="6" type="noConversion"/>
  </si>
  <si>
    <t>2台电脑(2台、1台中文、1台越文)
重新询价再次预定购买</t>
    <phoneticPr fontId="6" type="noConversion"/>
  </si>
  <si>
    <t>Glam公司职工薪资-阮氏能11月工资</t>
    <phoneticPr fontId="6" type="noConversion"/>
  </si>
  <si>
    <t>Glam公司职工薪资-阮巴桑11月工资</t>
    <phoneticPr fontId="6" type="noConversion"/>
  </si>
  <si>
    <t>台湾11/28 出货打头搓牙设备</t>
    <phoneticPr fontId="6" type="noConversion"/>
  </si>
  <si>
    <t>租金25年12月-26年4月21日含税10%
这次付含税的金额</t>
    <phoneticPr fontId="6" type="noConversion"/>
  </si>
  <si>
    <t>塑胶栈板费用10个</t>
    <phoneticPr fontId="6" type="noConversion"/>
  </si>
  <si>
    <r>
      <t>VNIC顾问服务费尾款
总金额130,507,200</t>
    </r>
    <r>
      <rPr>
        <sz val="12"/>
        <color theme="1"/>
        <rFont val="Times New Roman"/>
        <family val="1"/>
      </rPr>
      <t>₫</t>
    </r>
    <r>
      <rPr>
        <sz val="12"/>
        <color theme="1"/>
        <rFont val="Calibri"/>
        <family val="3"/>
        <charset val="134"/>
        <scheme val="minor"/>
      </rPr>
      <t xml:space="preserve"> </t>
    </r>
    <phoneticPr fontId="6" type="noConversion"/>
  </si>
  <si>
    <t>2025/11/01~2025/11/30
到11/30前结束</t>
    <phoneticPr fontId="6" type="noConversion"/>
  </si>
  <si>
    <r>
      <t>VNIC顾问服务费尾款
总金额130,507,200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Calibri"/>
        <family val="2"/>
        <charset val="136"/>
        <scheme val="minor"/>
      </rPr>
      <t>，</t>
    </r>
    <r>
      <rPr>
        <sz val="12"/>
        <color theme="1"/>
        <rFont val="宋体"/>
        <family val="2"/>
        <charset val="134"/>
      </rPr>
      <t>定金50%</t>
    </r>
    <r>
      <rPr>
        <sz val="12"/>
        <color theme="1"/>
        <rFont val="Calibri"/>
        <family val="2"/>
        <charset val="136"/>
        <scheme val="minor"/>
      </rPr>
      <t xml:space="preserve"> </t>
    </r>
    <phoneticPr fontId="6" type="noConversion"/>
  </si>
  <si>
    <t>补税金24年6月-25年11月共18个月税金150万*18个月，共2700万
补税金</t>
    <phoneticPr fontId="6" type="noConversion"/>
  </si>
  <si>
    <t>1000萬分兩次給，完成後再給500萬
80万 2025/9/4退回</t>
    <phoneticPr fontId="6" type="noConversion"/>
  </si>
  <si>
    <t>支付25年工厂第四季度租金</t>
    <phoneticPr fontId="6" type="noConversion"/>
  </si>
  <si>
    <t>支付26年工厂第一季度租金</t>
    <phoneticPr fontId="6" type="noConversion"/>
  </si>
  <si>
    <t>2025/12/1-2026/5/31</t>
    <phoneticPr fontId="6" type="noConversion"/>
  </si>
  <si>
    <t>未稅900萬，需要開票時另外付稅金
母公司支付
2024/06/01~2024/11/30</t>
    <phoneticPr fontId="6" type="noConversion"/>
  </si>
  <si>
    <t>未稅900萬，需要開票時另外付稅金
2024/12/01~2025/05/31</t>
    <phoneticPr fontId="6" type="noConversion"/>
  </si>
  <si>
    <t>美金2980.8含稅分兩次給，尾款美金1490.4按匯率25409.28</t>
    <phoneticPr fontId="6" type="noConversion"/>
  </si>
  <si>
    <t>每個月給540萬（含稅8%；未稅是500萬）；因發票原因所以掛靠在會計公司，顧問合同跟會計公司簽約</t>
    <phoneticPr fontId="6" type="noConversion"/>
  </si>
  <si>
    <t>2025/1/22 SUNHA公司代付</t>
    <phoneticPr fontId="6" type="noConversion"/>
  </si>
  <si>
    <t>财产险和施工保险，保险费用0.05%
公共責任險14,300,000越南盾，安裝工程一切險1,156,533越南盾；合計15,456,533越南盾（含稅10%）</t>
    <phoneticPr fontId="6" type="noConversion"/>
  </si>
  <si>
    <r>
      <t>厂房装修第一笔费用总金额2,102,787,500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Calibri"/>
        <family val="2"/>
        <charset val="136"/>
        <scheme val="minor"/>
      </rPr>
      <t>，第一笔40%</t>
    </r>
    <phoneticPr fontId="6" type="noConversion"/>
  </si>
  <si>
    <r>
      <t>厂房装修第二笔费用总金额2,102,787,500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Calibri"/>
        <family val="2"/>
        <charset val="136"/>
        <scheme val="minor"/>
      </rPr>
      <t>，第二笔20%</t>
    </r>
    <phoneticPr fontId="6" type="noConversion"/>
  </si>
  <si>
    <r>
      <t>厂房装修第三笔费用总金额2,102,787,500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Calibri"/>
        <family val="2"/>
        <charset val="136"/>
        <scheme val="minor"/>
      </rPr>
      <t>，第二笔20%</t>
    </r>
    <phoneticPr fontId="6" type="noConversion"/>
  </si>
  <si>
    <t>磨床、卧式车床、砂轮机、钻床费用，总金额409428000,定金50%
合同金额409,428,000，第一笔50%，第二笔40%，第三笔10%</t>
    <phoneticPr fontId="6" type="noConversion"/>
  </si>
  <si>
    <t>2026/1/1-2026/3/31房租费用</t>
    <phoneticPr fontId="6" type="noConversion"/>
  </si>
  <si>
    <t>MISA社保+个税软件购买</t>
    <phoneticPr fontId="6" type="noConversion"/>
  </si>
  <si>
    <t>QM电脑公司
现金付款-萧加典</t>
    <phoneticPr fontId="6" type="noConversion"/>
  </si>
  <si>
    <t>KEYTIME会计公司服务费2025/12/1-2026/5/31</t>
    <phoneticPr fontId="6" type="noConversion"/>
  </si>
  <si>
    <t>叉车租赁公司</t>
    <phoneticPr fontId="6" type="noConversion"/>
  </si>
  <si>
    <t>11/13-12/20累计费用</t>
    <phoneticPr fontId="6" type="noConversion"/>
  </si>
  <si>
    <t>CONG TY TNHH XAY DUNG BAO HUNG LONG</t>
    <phoneticPr fontId="6" type="noConversion"/>
  </si>
  <si>
    <t>现金付款</t>
    <phoneticPr fontId="6" type="noConversion"/>
  </si>
  <si>
    <t>与67项合并
中国进口设备卸货</t>
    <phoneticPr fontId="6" type="noConversion"/>
  </si>
  <si>
    <r>
      <t xml:space="preserve"> Ngân hàng Th</t>
    </r>
    <r>
      <rPr>
        <sz val="12"/>
        <color theme="1"/>
        <rFont val="Segoe UI"/>
        <family val="2"/>
        <charset val="238"/>
      </rPr>
      <t>ươ</t>
    </r>
    <r>
      <rPr>
        <sz val="12"/>
        <color theme="1"/>
        <rFont val="Calibri"/>
        <family val="2"/>
        <charset val="136"/>
        <scheme val="minor"/>
      </rPr>
      <t>ng m</t>
    </r>
    <r>
      <rPr>
        <sz val="12"/>
        <color theme="1"/>
        <rFont val="Calibri"/>
        <family val="2"/>
        <charset val="163"/>
      </rPr>
      <t>ạ</t>
    </r>
    <r>
      <rPr>
        <sz val="12"/>
        <color theme="1"/>
        <rFont val="Calibri"/>
        <family val="2"/>
        <charset val="136"/>
        <scheme val="minor"/>
      </rPr>
      <t>i c</t>
    </r>
    <r>
      <rPr>
        <sz val="12"/>
        <color theme="1"/>
        <rFont val="Calibri"/>
        <family val="2"/>
        <charset val="163"/>
      </rPr>
      <t>ổ</t>
    </r>
    <r>
      <rPr>
        <sz val="12"/>
        <color theme="1"/>
        <rFont val="Calibri"/>
        <family val="2"/>
        <charset val="136"/>
        <scheme val="minor"/>
      </rPr>
      <t xml:space="preserve"> ph</t>
    </r>
    <r>
      <rPr>
        <sz val="12"/>
        <color theme="1"/>
        <rFont val="Calibri"/>
        <family val="2"/>
        <charset val="163"/>
      </rPr>
      <t>ầ</t>
    </r>
    <r>
      <rPr>
        <sz val="12"/>
        <color theme="1"/>
        <rFont val="Calibri"/>
        <family val="2"/>
        <charset val="136"/>
        <scheme val="minor"/>
      </rPr>
      <t xml:space="preserve">n </t>
    </r>
    <r>
      <rPr>
        <sz val="12"/>
        <color theme="1"/>
        <rFont val="Arial"/>
        <family val="2"/>
        <charset val="238"/>
      </rPr>
      <t>Đ</t>
    </r>
    <r>
      <rPr>
        <sz val="12"/>
        <color theme="1"/>
        <rFont val="Calibri"/>
        <family val="2"/>
        <charset val="163"/>
      </rPr>
      <t>ầ</t>
    </r>
    <r>
      <rPr>
        <sz val="12"/>
        <color theme="1"/>
        <rFont val="Calibri"/>
        <family val="2"/>
        <charset val="136"/>
        <scheme val="minor"/>
      </rPr>
      <t>u t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Calibri"/>
        <family val="2"/>
        <charset val="136"/>
        <scheme val="minor"/>
      </rPr>
      <t xml:space="preserve"> và Phát tri</t>
    </r>
    <r>
      <rPr>
        <sz val="12"/>
        <color theme="1"/>
        <rFont val="Calibri"/>
        <family val="2"/>
        <charset val="163"/>
      </rPr>
      <t>ể</t>
    </r>
    <r>
      <rPr>
        <sz val="12"/>
        <color theme="1"/>
        <rFont val="Calibri"/>
        <family val="2"/>
        <charset val="136"/>
        <scheme val="minor"/>
      </rPr>
      <t>n Vi</t>
    </r>
    <r>
      <rPr>
        <sz val="12"/>
        <color theme="1"/>
        <rFont val="Calibri"/>
        <family val="2"/>
        <charset val="163"/>
      </rPr>
      <t>ệ</t>
    </r>
    <r>
      <rPr>
        <sz val="12"/>
        <color theme="1"/>
        <rFont val="Calibri"/>
        <family val="2"/>
        <charset val="136"/>
        <scheme val="minor"/>
      </rPr>
      <t xml:space="preserve">t Nam （ BIDV） ， 分行 ： </t>
    </r>
    <r>
      <rPr>
        <sz val="12"/>
        <color theme="1"/>
        <rFont val="Arial"/>
        <family val="2"/>
        <charset val="238"/>
      </rPr>
      <t>Đ</t>
    </r>
    <r>
      <rPr>
        <sz val="12"/>
        <color theme="1"/>
        <rFont val="Calibri"/>
        <family val="2"/>
        <charset val="136"/>
        <scheme val="minor"/>
      </rPr>
      <t>ông Hà N</t>
    </r>
    <r>
      <rPr>
        <sz val="12"/>
        <color theme="1"/>
        <rFont val="Calibri"/>
        <family val="2"/>
        <charset val="163"/>
      </rPr>
      <t>ộ</t>
    </r>
    <r>
      <rPr>
        <sz val="12"/>
        <color theme="1"/>
        <rFont val="Calibri"/>
        <family val="2"/>
        <charset val="136"/>
        <scheme val="minor"/>
      </rPr>
      <t xml:space="preserve">i </t>
    </r>
    <phoneticPr fontId="6" type="noConversion"/>
  </si>
  <si>
    <t>Vu Truong Giang</t>
    <phoneticPr fontId="6" type="noConversion"/>
  </si>
  <si>
    <t>转账支付-武长江</t>
    <phoneticPr fontId="6" type="noConversion"/>
  </si>
  <si>
    <t>688868999</t>
    <phoneticPr fontId="6" type="noConversion"/>
  </si>
  <si>
    <t>SEAVVNVX</t>
    <phoneticPr fontId="6" type="noConversion"/>
  </si>
  <si>
    <t>Công Ty TNHH SX Kinh Doanh TM Quang Anh</t>
    <phoneticPr fontId="6" type="noConversion"/>
  </si>
  <si>
    <r>
      <t xml:space="preserve">Ngân hàng TMCP </t>
    </r>
    <r>
      <rPr>
        <sz val="12"/>
        <color theme="1"/>
        <rFont val="Arial"/>
        <family val="1"/>
        <charset val="238"/>
      </rPr>
      <t>Đ</t>
    </r>
    <r>
      <rPr>
        <sz val="12"/>
        <color theme="1"/>
        <rFont val="Calibri"/>
        <family val="1"/>
        <charset val="136"/>
        <scheme val="minor"/>
      </rPr>
      <t>ông Nam Á (SEABANK)</t>
    </r>
    <phoneticPr fontId="6" type="noConversion"/>
  </si>
  <si>
    <t>定制工作台及线架，包装台款</t>
    <phoneticPr fontId="6" type="noConversion"/>
  </si>
  <si>
    <t>施工队</t>
    <phoneticPr fontId="6" type="noConversion"/>
  </si>
  <si>
    <t>钻床架、线架4个、包装台、工作台2个</t>
    <phoneticPr fontId="6" type="noConversion"/>
  </si>
  <si>
    <t>越南电费用</t>
  </si>
  <si>
    <t>电费25年12月</t>
  </si>
  <si>
    <t>110000162750</t>
  </si>
  <si>
    <t>ICBVVNVX282</t>
  </si>
  <si>
    <t>Ngân hàng TMCP công thương Việt Nam Vietinbank</t>
  </si>
  <si>
    <t>Công ty cổ phần điện lực khu vực 1</t>
  </si>
  <si>
    <t>电力公司</t>
  </si>
  <si>
    <t>电话机</t>
  </si>
  <si>
    <t>PHONG VŨ 电话机</t>
  </si>
  <si>
    <t>MSCBVNVX</t>
  </si>
  <si>
    <t>电话机 8 部</t>
  </si>
  <si>
    <t>办公用品</t>
  </si>
  <si>
    <t>MinhTri 公司</t>
  </si>
  <si>
    <t>黑色长尾夹10盒（25mm和32mm）
，员工卡21张，笔筒6个，带拉链文件袋24个，
按扣文件袋50个，打孔资料袋1包，印章印油2瓶
，美工刀1把，纸质封边胶带1卷，封箱胶带切割刀1把
，荧光笔2支，办公剪刀1把，印章盒2盒，回形针10盒
，小型计算器1个。</t>
  </si>
  <si>
    <t>电费 支付给房东</t>
  </si>
  <si>
    <t>TITAN CORPORATION 2</t>
  </si>
  <si>
    <t>缴纳房东电费 12月</t>
  </si>
  <si>
    <t>购买台钳的费用</t>
  </si>
  <si>
    <t>Ngân hàng Sumitomo Mitsui Banking Corporation</t>
  </si>
  <si>
    <t>Tuấn Cường 公司</t>
  </si>
  <si>
    <t>车间工作台上使用</t>
  </si>
  <si>
    <t>越南请购物资清单</t>
  </si>
  <si>
    <t xml:space="preserve">扫帚1个，塑料簸箕1个，垃圾袋1包，垃圾桶1个，
冷热饮水机水桶9瓶，黄色油漆1桶，手套1包，
大号油漆刷2把，小号油漆刷4把，溶剂1瓶，胶带4卷
，抽油塑料管2米，铝锅1口，管箍1个，垃圾桶4个，
塑料水杯3个，剪刀1把，撬棍1根，内胎1个,医疗用品1套，气枪1把，6米气管1根，铁皮箱8个，铁桶2个，机用抹布15公斤，医药箱1个，卡尺电池2节，不锈钢篮1个，编织袋装钉子200个，润滑喷油1瓶，不锈钢桶10个，铁簸箕1个，拖把2把，绿色样品托盘30个，不锈钢篮19个，不锈钢桶8个，车刀1把，维修油泵1台，14-17号扳手1把，12号扳手1把，14号扳手1把，300毫米活动扳手1把，300带橡胶手柄的扳手1把
垃圾桶4个，带盖垃圾桶4个，大机铁盆1个，大机铁网盆1个，插排1个，花洒1个，车间用抹布10kg，扫把4个，畚斗2个。
</t>
  </si>
  <si>
    <t>及电子称300KG ，电子天平称</t>
  </si>
  <si>
    <t>电子称300KG,电子天平称500g(0.001g)</t>
  </si>
  <si>
    <t>NGÂN HÀNG TMCP QUÂN ĐỘI (MB BANK) - CHI NHÁNH BẮC NINH</t>
  </si>
  <si>
    <t>CÔNG TY TNHH ĐIỆN TỬ ANFUDA</t>
  </si>
  <si>
    <t>ANFUDA 公司</t>
  </si>
  <si>
    <t>越南厂购买货架</t>
  </si>
  <si>
    <t>TRÁC MINH卓明货架有限公司</t>
  </si>
  <si>
    <t>购买4层货架，每层承重500KG ， 8部</t>
  </si>
  <si>
    <t>支付对象</t>
  </si>
  <si>
    <t>CÔNG TY TNHH KỆ HÀNG TRÁC MINH</t>
  </si>
  <si>
    <t>Thắng Cương 公司</t>
  </si>
  <si>
    <t>千斤顶支架</t>
  </si>
  <si>
    <t>一台千斤顶支架</t>
  </si>
  <si>
    <t>周转箱用装产品</t>
  </si>
  <si>
    <t>Ngân hàng TMCP Ngoại Thương Việt Nam
VIETCOMBANK-Bắc Ninh</t>
  </si>
  <si>
    <t>为领导预订酒店的费用</t>
  </si>
  <si>
    <t>VINPEARL 公司</t>
  </si>
  <si>
    <t>每个月</t>
  </si>
  <si>
    <t>1个月三次</t>
  </si>
  <si>
    <t>领导入住酒店3天：21日、22日、23日</t>
  </si>
  <si>
    <t>Ngân hàng TECHCOMBANK - BẮC NINH</t>
  </si>
  <si>
    <t>CÔNG TY CỔ PHẦN VINPEARL</t>
  </si>
  <si>
    <t>19040122049011</t>
  </si>
  <si>
    <t>VTCBVNVX</t>
  </si>
  <si>
    <t>THIÊN ÂN PLASTIC 公司</t>
  </si>
  <si>
    <t>蓝色 370*280*125mm（30个）黄色370*280*125mm
（70个）</t>
  </si>
  <si>
    <t>CÔNG TY TNHH SX CÔNG NGHIỆP THIÊN ÂN PLASTIC</t>
  </si>
  <si>
    <t>预付给电力公司的费用</t>
  </si>
  <si>
    <t>车床主轴费用</t>
  </si>
  <si>
    <t>优惠31万税金</t>
  </si>
  <si>
    <t>水费，污水费 支付给房东</t>
  </si>
  <si>
    <t>缴纳房东水费，污水费 12月</t>
  </si>
  <si>
    <t>NEW BEST WIRE 线材公司</t>
  </si>
  <si>
    <t>第1笔是样品10/24：11/11交货，线径1.67mm
，20kg，有样品订单确认书。
第2笔是订单11/13：11/29交货，线径1.68mm
，615kg+线径2.12mm，309kg，一共924kg</t>
  </si>
  <si>
    <t>ngân hàng VIETCOMBANK chi nhánh Hưng Yên</t>
  </si>
  <si>
    <t>Công ty TNHH công nghiệp NEW BEST WIRE VIỆT NAM</t>
  </si>
  <si>
    <t>0591000501389</t>
  </si>
  <si>
    <t>BFTVVNVX059</t>
  </si>
  <si>
    <t>越南厂购买线材</t>
  </si>
  <si>
    <t>SMBCVNVX</t>
  </si>
  <si>
    <t>法人的工作证</t>
  </si>
  <si>
    <t>SUNHA VINA 公司</t>
  </si>
  <si>
    <t>法人申请工作许可的服务费用</t>
  </si>
  <si>
    <t>ngân hàng VIETCOMBANK chi nhánh kinh bắc Bắc Ninh</t>
  </si>
  <si>
    <t>Công ty TNHH SUNHA VINA ( VIỆT NAM)</t>
  </si>
  <si>
    <t>BFTVVNVX110</t>
  </si>
  <si>
    <t>缴纳房东水费，污水费 2026年1月</t>
  </si>
  <si>
    <t>NGân Hàng TMCP Công Thương VIỆT NAM</t>
  </si>
  <si>
    <t xml:space="preserve">2台电脑(2台、1台电脑安装在办公室，一台电脑安装在仓库)
</t>
  </si>
  <si>
    <t>台式电脑购买(2台、1台电脑安装在办公室，
一台电脑安装在仓库)</t>
  </si>
  <si>
    <t>113634346688</t>
  </si>
  <si>
    <t>ICBVVNVX289</t>
  </si>
  <si>
    <t>ASCBVNVX</t>
  </si>
  <si>
    <t>TMCP Á CHÂU(ACB)- CN Tân Chánh Hiệp- TPHCM</t>
  </si>
  <si>
    <t>微波炉1台</t>
  </si>
  <si>
    <t>购买一台 微波炉25升</t>
  </si>
  <si>
    <t>Công ty cổ phần đầu tư điện máy xanh</t>
  </si>
  <si>
    <t>1243666888</t>
  </si>
  <si>
    <t>BFTVVNVX044</t>
  </si>
  <si>
    <t>购买电视机</t>
  </si>
  <si>
    <t>Ngân hàng TMCP Quân Đội -CN Bắc Ninh</t>
  </si>
  <si>
    <t>3238899999999</t>
  </si>
  <si>
    <t>ĐIỆN MÁY XANH 公司</t>
  </si>
  <si>
    <t>XIAOMI 公司</t>
  </si>
  <si>
    <t>购买2台电视：1台65英寸，1台32英寸</t>
  </si>
  <si>
    <t>Công Ty TNHH Thương Mại Dịch Vụ SMARTHOME</t>
  </si>
  <si>
    <t>去北宁的餐厅吃年终聚餐</t>
  </si>
  <si>
    <t>THẦN BIỂN 公司</t>
  </si>
  <si>
    <t>吃年终聚餐：6 个越南人，3个中国人</t>
  </si>
  <si>
    <t>缴纳房东电费 1月2026年</t>
  </si>
  <si>
    <t>Phúc ký 公司</t>
  </si>
  <si>
    <t>CÔNG TY TNHH DREAM KV</t>
  </si>
  <si>
    <t>DREAM KV 公司</t>
  </si>
  <si>
    <t>领导用车费用</t>
  </si>
  <si>
    <t>NGÂN HÀNG TECHCOMBANK-CHI NHÁNH BẮC NINH</t>
  </si>
  <si>
    <t>55889968</t>
  </si>
  <si>
    <t>越南工厂领导用车（1月21日至1月24日）</t>
  </si>
  <si>
    <t>Ngoại Thương Việt Nam-Chi nhánh Tân Bình (VCB)</t>
  </si>
  <si>
    <t>DELI 公司 </t>
  </si>
  <si>
    <t>JIN NUO 公司（二次元）</t>
  </si>
  <si>
    <t>LÊ HUY 公司</t>
  </si>
  <si>
    <t>一台考勤机 W800 PLUS</t>
  </si>
  <si>
    <t xml:space="preserve">NGÂN HÀNG TMCP Á CHÂU- CN ĐỊNH CÔNG </t>
  </si>
  <si>
    <t>CÔNG TY TNHH XNK VÀ DỊCH VỤ KỸ THUẬT LÊ HUY</t>
  </si>
  <si>
    <t>80018888</t>
  </si>
  <si>
    <t>购买考勤机</t>
  </si>
  <si>
    <t>购买JIN NUO公司的测量设备</t>
  </si>
  <si>
    <t>得力公司购买机器的费用</t>
  </si>
  <si>
    <t>CONG TY TNHH THIET BI VA CONG NGHE DELI</t>
  </si>
  <si>
    <t>,0351001041541</t>
  </si>
  <si>
    <t>Ngân hàng TMCP Ngoại thương Việt Nam - Chi nhánh Kinh Bắc</t>
  </si>
  <si>
    <t>二次元影像测量仪，品牌: 槿诺（M2010)，
台式电脑主机，设备工作台</t>
  </si>
  <si>
    <t>UX-220荧光光谱仪,XRF-2020H镀层测厚仪,
HV-1000手动维氏硬度计,10A-638-S110视频显微镜,KJU-952C盐雾试验机</t>
  </si>
  <si>
    <t>NGÂN HÀNG TMCP Á CHÂU-CN TRẦN DUY HƯNG-PGD VẠN PHÚC</t>
  </si>
  <si>
    <t>CTY TNHH CÔNG NGHỆ VÀ KHOA HỌC JIN NUO (HÀ NỘI)</t>
  </si>
  <si>
    <t>2025076688</t>
  </si>
  <si>
    <t>Công ty TNHH Minh Trí BN</t>
  </si>
  <si>
    <t>Ngân hàng TMCP ngoại thương Việt Nam</t>
  </si>
  <si>
    <t>1038496888</t>
  </si>
  <si>
    <t>A4 纸 一箱，文件夹2本， 100页文件袋</t>
  </si>
  <si>
    <t>MINH TRÍ 公司</t>
  </si>
  <si>
    <t>购买办公用品</t>
  </si>
  <si>
    <t>缴纳房东水费，污水费 2026年2月</t>
  </si>
  <si>
    <t>TRƯỜNG CHINH 公司</t>
  </si>
  <si>
    <t>饮用水费</t>
  </si>
  <si>
    <t>8%</t>
  </si>
  <si>
    <t>总共34桶从2025年11月17号</t>
  </si>
  <si>
    <t>Ngân hàng BIDV - Chi nhánh Bắc Ninh</t>
  </si>
  <si>
    <t>CÔNG TY TNHH SẢN XUẤT KINH DOANH NƯỚC TRƯỜNG CHINH</t>
  </si>
  <si>
    <t>4320380348</t>
  </si>
  <si>
    <t>江先生，厂长</t>
  </si>
  <si>
    <t>定制修模工作台、审模机工作台,破坏扭力仪工作台</t>
  </si>
  <si>
    <t>0%</t>
  </si>
  <si>
    <t>厂长</t>
  </si>
  <si>
    <t>雨伞，水桶，畚斗，报关行快递费，样品柜和车刀费
拖把，江先生签证费用，打印机加墨，地板胶带</t>
  </si>
  <si>
    <t>杂物文具用品</t>
  </si>
  <si>
    <t>1500萬含稅，分兩次給/未完成
先付50%，跟踪房东退款</t>
    <phoneticPr fontId="6" type="noConversion"/>
  </si>
  <si>
    <t>萧加典现金</t>
    <phoneticPr fontId="6" type="noConversion"/>
  </si>
  <si>
    <t>江东川现金</t>
    <phoneticPr fontId="6" type="noConversion"/>
  </si>
  <si>
    <t>修模工作台220万、审模机工作台含电机500万、实验室破坏扭力仪工作台570万、税金130万</t>
    <phoneticPr fontId="6" type="noConversion"/>
  </si>
  <si>
    <t>江先生</t>
    <phoneticPr fontId="6" type="noConversion"/>
  </si>
  <si>
    <t>招待仁宝SQE刘振帮客户吃饭唱歌 (发票少187.600vnd）</t>
    <phoneticPr fontId="6" type="noConversion"/>
  </si>
  <si>
    <t>招待仁宝客户</t>
    <phoneticPr fontId="6" type="noConversion"/>
  </si>
  <si>
    <t>员工餐总268份 10.720.000，请客人、股东吃饭共33,823,140</t>
    <phoneticPr fontId="6" type="noConversion"/>
  </si>
  <si>
    <t>江东川现金、萧加典现金</t>
    <phoneticPr fontId="6" type="noConversion"/>
  </si>
  <si>
    <t>越工餐费、股东餐费、客户餐费</t>
    <phoneticPr fontId="6" type="noConversion"/>
  </si>
  <si>
    <t>2026/3/17</t>
    <phoneticPr fontId="6" type="noConversion"/>
  </si>
  <si>
    <t>搓牙机油泵维修</t>
    <phoneticPr fontId="6" type="noConversion"/>
  </si>
  <si>
    <t>国菱送了新的，我们拿坏的去修，备用</t>
    <phoneticPr fontId="6" type="noConversion"/>
  </si>
  <si>
    <t>江先生电话费</t>
    <phoneticPr fontId="6" type="noConversion"/>
  </si>
  <si>
    <t>江东川2月份电话费</t>
    <phoneticPr fontId="6" type="noConversion"/>
  </si>
  <si>
    <t>购买办公用品、灯笼</t>
    <phoneticPr fontId="6" type="noConversion"/>
  </si>
  <si>
    <t>办公用品(剪刀/文件夹)灯笼2个</t>
    <phoneticPr fontId="6" type="noConversion"/>
  </si>
  <si>
    <t>台湾第二批设备款</t>
    <phoneticPr fontId="6" type="noConversion"/>
  </si>
  <si>
    <t>台湾第一批设备款</t>
    <phoneticPr fontId="6" type="noConversion"/>
  </si>
  <si>
    <t>台湾格琳电子有限公司</t>
    <phoneticPr fontId="6" type="noConversion"/>
  </si>
  <si>
    <t>台湾紫艾</t>
    <phoneticPr fontId="6" type="noConversion"/>
  </si>
  <si>
    <t>台湾紫艾账号</t>
    <phoneticPr fontId="6" type="noConversion"/>
  </si>
  <si>
    <t>12台国菱设备，8搓牙机+4打头机</t>
    <phoneticPr fontId="6" type="noConversion"/>
  </si>
  <si>
    <t>8台国菱设备，2搓牙机+6打头机</t>
    <phoneticPr fontId="6" type="noConversion"/>
  </si>
  <si>
    <t>越南盾</t>
    <phoneticPr fontId="6" type="noConversion"/>
  </si>
  <si>
    <t>人民币</t>
    <phoneticPr fontId="6" type="noConversion"/>
  </si>
  <si>
    <t>美金</t>
    <phoneticPr fontId="6" type="noConversion"/>
  </si>
  <si>
    <t>应付金额</t>
    <phoneticPr fontId="6" type="noConversion"/>
  </si>
  <si>
    <t>1台，待支付人民币10.4万</t>
    <phoneticPr fontId="6" type="noConversion"/>
  </si>
  <si>
    <t>CATHAY UNITED BANK HSINCHUANG BRANCH</t>
    <phoneticPr fontId="6" type="noConversion"/>
  </si>
  <si>
    <t>GERLENG ELECTRONIC CO.,LTD.</t>
    <phoneticPr fontId="6" type="noConversion"/>
  </si>
  <si>
    <t>UWCBTWTP</t>
    <phoneticPr fontId="6" type="noConversion"/>
  </si>
  <si>
    <t>2026/3/16</t>
    <phoneticPr fontId="6" type="noConversion"/>
  </si>
  <si>
    <r>
      <t xml:space="preserve">43,904 </t>
    </r>
    <r>
      <rPr>
        <sz val="12"/>
        <color theme="1"/>
        <rFont val="Calibri"/>
        <family val="2"/>
        <scheme val="minor"/>
      </rPr>
      <t>₫</t>
    </r>
    <r>
      <rPr>
        <sz val="12"/>
        <color theme="1"/>
        <rFont val="Calibri"/>
        <family val="2"/>
        <charset val="136"/>
        <scheme val="minor"/>
      </rPr>
      <t xml:space="preserve"> </t>
    </r>
  </si>
  <si>
    <t xml:space="preserve">TITAN CORPORATION INDUSTRIAL 2 (BAC NINH) 
COMPANY LIMITED  </t>
  </si>
  <si>
    <t>越南员工社会保险费补交</t>
    <phoneticPr fontId="6" type="noConversion"/>
  </si>
  <si>
    <t>k士磁吸文件夹</t>
    <phoneticPr fontId="6" type="noConversion"/>
  </si>
  <si>
    <t>TOAN THINH</t>
  </si>
  <si>
    <t>1次性</t>
  </si>
  <si>
    <t>CÔNG TY TNHH TOÀN THỊNH</t>
  </si>
  <si>
    <t>標籤打印機</t>
  </si>
  <si>
    <t>HT MART CO.,LTD</t>
  </si>
  <si>
    <t>標籤打印機（斑馬ZT231 203DPI)</t>
  </si>
  <si>
    <t>Ngân hàng Thương mại cổ phần Việt Nam Thịnh Vượng</t>
  </si>
  <si>
    <t>CT TNHH CN HTMART VIET NAM</t>
  </si>
  <si>
    <t>VPBKVNVX</t>
  </si>
  <si>
    <t>塑封機</t>
  </si>
  <si>
    <t>MUC IN BAO TIN CO.,LTD</t>
  </si>
  <si>
    <t>塑封機 MODEL 320</t>
  </si>
  <si>
    <t>Ngân hàng VIETCOMBANK- chi nhánh Saì gòn</t>
  </si>
  <si>
    <t>CT TNHH MUC IN BAO TIN</t>
  </si>
  <si>
    <t>bftvvnvx007</t>
  </si>
  <si>
    <t>條碼掃描機</t>
  </si>
  <si>
    <t>CONG TY TNHH HC LABEL</t>
  </si>
  <si>
    <t>條碼掃描機,MODEL :ZEBRA LS 2208</t>
  </si>
  <si>
    <t>ICBVVNVX</t>
  </si>
  <si>
    <t>辦公用品</t>
  </si>
  <si>
    <t>安豐2026/2季度房租費，服務費</t>
  </si>
  <si>
    <t>季度</t>
  </si>
  <si>
    <t>勞保用品</t>
  </si>
  <si>
    <t>CTY TNHH BAO HO LAO DONG MP</t>
  </si>
  <si>
    <t>耳塞，PE代</t>
  </si>
  <si>
    <t>製作桌子及白板底座</t>
  </si>
  <si>
    <t>CTY TNHH SAN XUAT KINH DOANH TM QUANG ANH</t>
  </si>
  <si>
    <t>NGAN HANG TMCP ĐÔNG NAM Á</t>
  </si>
  <si>
    <t>SEAVVNVX</t>
  </si>
  <si>
    <t>BẢO HIỂM XÃ HỘI CƠ SỞ TỪ SƠN</t>
  </si>
  <si>
    <t>越南员工社会保险费补交(2025/12,2026/01,2026/02)</t>
  </si>
  <si>
    <t>厂长</t>
    <phoneticPr fontId="6" type="noConversion"/>
  </si>
  <si>
    <t>厂房装修第四笔费用-验收款15%</t>
    <phoneticPr fontId="6" type="noConversion"/>
  </si>
  <si>
    <r>
      <t>厂房装修第四笔费用15%,共315,418,125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Calibri"/>
        <family val="2"/>
        <charset val="136"/>
        <scheme val="minor"/>
      </rPr>
      <t>（总金额2,102,787,500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宋体"/>
        <family val="2"/>
        <charset val="134"/>
      </rPr>
      <t>）</t>
    </r>
    <phoneticPr fontId="6" type="noConversion"/>
  </si>
  <si>
    <t>厂房装修增项费用-第二次</t>
    <phoneticPr fontId="6" type="noConversion"/>
  </si>
  <si>
    <t>与121项合并</t>
    <phoneticPr fontId="6" type="noConversion"/>
  </si>
  <si>
    <r>
      <t>厂房装修第一次增项费用42,898,735</t>
    </r>
    <r>
      <rPr>
        <sz val="12"/>
        <color theme="1"/>
        <rFont val="Calibri"/>
        <family val="1"/>
        <charset val="163"/>
      </rPr>
      <t>₫</t>
    </r>
    <r>
      <rPr>
        <sz val="12"/>
        <color theme="1"/>
        <rFont val="Calibri"/>
        <family val="2"/>
        <charset val="136"/>
        <scheme val="minor"/>
      </rPr>
      <t>；第二次增项68,000,000</t>
    </r>
    <r>
      <rPr>
        <sz val="12"/>
        <color theme="1"/>
        <rFont val="Calibri"/>
        <family val="1"/>
        <charset val="163"/>
      </rPr>
      <t>₫</t>
    </r>
    <r>
      <rPr>
        <sz val="12"/>
        <color theme="1"/>
        <rFont val="Calibri"/>
        <family val="2"/>
        <charset val="136"/>
        <scheme val="minor"/>
      </rPr>
      <t>，合计110,898,735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Calibri"/>
        <family val="2"/>
        <charset val="136"/>
        <scheme val="minor"/>
      </rPr>
      <t xml:space="preserve"> 最后金额105,413,000</t>
    </r>
    <r>
      <rPr>
        <sz val="12"/>
        <color theme="1"/>
        <rFont val="Calibri"/>
        <family val="2"/>
        <charset val="163"/>
      </rPr>
      <t>₫</t>
    </r>
    <r>
      <rPr>
        <sz val="12"/>
        <color theme="1"/>
        <rFont val="宋体"/>
        <family val="2"/>
        <charset val="134"/>
      </rPr>
      <t>；分2笔支付，第一笔95%。第二笔保固款5%完工后一年内支付。</t>
    </r>
    <phoneticPr fontId="6" type="noConversion"/>
  </si>
  <si>
    <t>耳塞，PE袋</t>
    <phoneticPr fontId="6" type="noConversion"/>
  </si>
  <si>
    <t>购买震动机，烘干机，研磨石</t>
  </si>
  <si>
    <t>SHUNJIA 公司 </t>
  </si>
  <si>
    <t xml:space="preserve">Ngân hàng VP Bank - cn Bắc Ninh </t>
  </si>
  <si>
    <t>CÔNG TY TNHH CÔNG NGHỆ MÀI BÓNG SHUNJIA VIỆT NAM</t>
  </si>
  <si>
    <t>VPVKVNVX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</si>
</sst>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#,##0\ [$₫-42A]_);[Red]\(#,##0\ [$₫-42A]\)"/>
    <numFmt numFmtId="166" formatCode="_-&quot;US$&quot;* #,##0_ ;_-&quot;US$&quot;* \-#,##0\ ;_-&quot;US$&quot;* &quot;-&quot;_ ;_-@_ "/>
    <numFmt numFmtId="167" formatCode="_ [$¥-804]* #,##0_ ;_ [$¥-804]* \-#,##0_ ;_ [$¥-804]* &quot;-&quot;??_ ;_ @_ "/>
    <numFmt numFmtId="168" formatCode="_-&quot;US$&quot;* #,##0.00_ ;_-&quot;US$&quot;* \-#,##0.00\ ;_-&quot;US$&quot;* &quot;-&quot;??_ ;_-@_ "/>
    <numFmt numFmtId="169" formatCode="yyyy/mm/dd"/>
    <numFmt numFmtId="170" formatCode="_(* #,##0_);_(* \(#,##0\);_(* &quot;-&quot;??_);_(@_)"/>
    <numFmt numFmtId="171" formatCode="#,##0.00\ [$₫-42A]_);[Red]\(#,##0.00\ [$₫-42A]\)"/>
  </numFmts>
  <fonts count="2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color rgb="FF000000"/>
      <name val="Calibri"/>
      <family val="1"/>
      <charset val="136"/>
      <scheme val="minor"/>
    </font>
    <font>
      <sz val="12"/>
      <color theme="1"/>
      <name val="Calibri"/>
      <family val="1"/>
      <scheme val="minor"/>
    </font>
    <font>
      <sz val="12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1"/>
      <charset val="163"/>
    </font>
    <font>
      <sz val="12"/>
      <name val="Calibri"/>
      <family val="3"/>
      <charset val="134"/>
      <scheme val="minor"/>
    </font>
    <font>
      <b/>
      <sz val="12"/>
      <color rgb="FFFF0000"/>
      <name val="Calibri"/>
      <family val="3"/>
      <charset val="134"/>
      <scheme val="minor"/>
    </font>
    <font>
      <sz val="12"/>
      <color theme="1"/>
      <name val="Segoe UI"/>
      <family val="1"/>
      <charset val="238"/>
    </font>
    <font>
      <b/>
      <sz val="12"/>
      <color theme="1"/>
      <name val="Calibri"/>
      <family val="3"/>
      <charset val="134"/>
      <scheme val="minor"/>
    </font>
    <font>
      <sz val="12"/>
      <color theme="1"/>
      <name val="宋体"/>
      <family val="2"/>
      <charset val="134"/>
    </font>
    <font>
      <sz val="12"/>
      <color rgb="FFFF0000"/>
      <name val="Calibri"/>
      <family val="2"/>
      <charset val="136"/>
      <scheme val="minor"/>
    </font>
    <font>
      <sz val="12"/>
      <name val="Calibri"/>
      <family val="2"/>
      <charset val="136"/>
      <scheme val="minor"/>
    </font>
    <font>
      <sz val="12"/>
      <color theme="1"/>
      <name val="Calibri"/>
      <family val="2"/>
      <charset val="163"/>
    </font>
    <font>
      <sz val="12"/>
      <color theme="1"/>
      <name val="Times New Roman"/>
      <family val="1"/>
    </font>
    <font>
      <sz val="12"/>
      <color theme="1"/>
      <name val="Arial"/>
      <family val="1"/>
      <charset val="238"/>
    </font>
    <font>
      <sz val="12"/>
      <color theme="1"/>
      <name val="Segoe UI"/>
      <family val="2"/>
      <charset val="238"/>
    </font>
    <font>
      <sz val="12"/>
      <color theme="1"/>
      <name val="Arial"/>
      <family val="2"/>
      <charset val="238"/>
    </font>
    <font>
      <sz val="12"/>
      <color theme="1"/>
      <name val="Calibri"/>
      <family val="2"/>
      <scheme val="minor"/>
    </font>
    <font>
      <sz val="11.25"/>
      <color rgb="FF333333"/>
      <name val="Arial"/>
      <family val="2"/>
    </font>
    <font>
      <sz val="11"/>
      <color rgb="FF081B3A"/>
      <name val="Segoe UI"/>
      <family val="2"/>
    </font>
    <font>
      <sz val="12"/>
      <color theme="1"/>
      <name val="Calibri"/>
      <family val="2"/>
      <charset val="136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trike/>
      <sz val="12"/>
      <color theme="1"/>
      <name val="Calibri"/>
      <family val="2"/>
      <charset val="136"/>
      <scheme val="minor"/>
    </font>
    <font>
      <strike/>
      <sz val="12"/>
      <color theme="1"/>
      <name val="Calibri"/>
      <family val="3"/>
      <charset val="134"/>
      <scheme val="minor"/>
    </font>
    <font>
      <sz val="14"/>
      <color theme="1"/>
      <name val="Calibri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64" fontId="2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49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3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5" fontId="0" fillId="2" borderId="1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165" fontId="14" fillId="2" borderId="1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165" fontId="14" fillId="3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1" fontId="0" fillId="0" borderId="0" xfId="0" applyNumberFormat="1" applyAlignment="1">
      <alignment horizontal="left" vertical="center"/>
    </xf>
    <xf numFmtId="165" fontId="14" fillId="4" borderId="1" xfId="0" applyNumberFormat="1" applyFont="1" applyFill="1" applyBorder="1" applyAlignment="1">
      <alignment horizontal="right" vertical="center"/>
    </xf>
    <xf numFmtId="165" fontId="14" fillId="0" borderId="1" xfId="0" applyNumberFormat="1" applyFont="1" applyBorder="1" applyAlignment="1">
      <alignment horizontal="right" vertical="center"/>
    </xf>
    <xf numFmtId="49" fontId="2" fillId="0" borderId="1" xfId="0" applyNumberFormat="1" applyFont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 wrapText="1"/>
    </xf>
    <xf numFmtId="165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165" fontId="0" fillId="4" borderId="1" xfId="0" applyNumberFormat="1" applyFill="1" applyBorder="1">
      <alignment vertical="center"/>
    </xf>
    <xf numFmtId="167" fontId="0" fillId="4" borderId="1" xfId="0" applyNumberFormat="1" applyFill="1" applyBorder="1">
      <alignment vertical="center"/>
    </xf>
    <xf numFmtId="166" fontId="0" fillId="4" borderId="1" xfId="0" applyNumberFormat="1" applyFill="1" applyBorder="1">
      <alignment vertical="center"/>
    </xf>
    <xf numFmtId="0" fontId="0" fillId="4" borderId="1" xfId="0" applyFill="1" applyBorder="1">
      <alignment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2" fillId="6" borderId="1" xfId="0" applyNumberFormat="1" applyFont="1" applyFill="1" applyBorder="1">
      <alignment vertical="center"/>
    </xf>
    <xf numFmtId="0" fontId="0" fillId="6" borderId="0" xfId="0" applyFill="1">
      <alignment vertical="center"/>
    </xf>
    <xf numFmtId="0" fontId="0" fillId="6" borderId="1" xfId="0" applyFill="1" applyBorder="1" applyAlignment="1">
      <alignment horizontal="left" vertical="center"/>
    </xf>
    <xf numFmtId="166" fontId="0" fillId="2" borderId="1" xfId="0" applyNumberFormat="1" applyFill="1" applyBorder="1" applyAlignment="1">
      <alignment horizontal="right" vertical="center"/>
    </xf>
    <xf numFmtId="168" fontId="1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>
      <alignment vertical="center"/>
    </xf>
    <xf numFmtId="170" fontId="0" fillId="2" borderId="1" xfId="1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69" fontId="25" fillId="2" borderId="1" xfId="0" applyNumberFormat="1" applyFont="1" applyFill="1" applyBorder="1">
      <alignment vertical="center"/>
    </xf>
    <xf numFmtId="0" fontId="0" fillId="3" borderId="1" xfId="0" applyFill="1" applyBorder="1">
      <alignment vertical="center"/>
    </xf>
    <xf numFmtId="169" fontId="24" fillId="3" borderId="1" xfId="0" applyNumberFormat="1" applyFont="1" applyFill="1" applyBorder="1">
      <alignment vertical="center"/>
    </xf>
    <xf numFmtId="170" fontId="0" fillId="3" borderId="1" xfId="1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8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21" fillId="5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9" fontId="24" fillId="3" borderId="1" xfId="0" applyNumberFormat="1" applyFont="1" applyFill="1" applyBorder="1" applyAlignment="1">
      <alignment horizontal="center" vertical="center"/>
    </xf>
    <xf numFmtId="171" fontId="0" fillId="0" borderId="0" xfId="0" applyNumberFormat="1">
      <alignment vertical="center"/>
    </xf>
    <xf numFmtId="0" fontId="26" fillId="3" borderId="1" xfId="0" applyFont="1" applyFill="1" applyBorder="1" applyAlignment="1">
      <alignment horizontal="left" vertical="center"/>
    </xf>
    <xf numFmtId="14" fontId="27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left" vertical="center"/>
    </xf>
    <xf numFmtId="165" fontId="27" fillId="3" borderId="1" xfId="0" applyNumberFormat="1" applyFont="1" applyFill="1" applyBorder="1" applyAlignment="1">
      <alignment horizontal="right" vertical="center"/>
    </xf>
    <xf numFmtId="9" fontId="27" fillId="3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right" vertical="center"/>
    </xf>
    <xf numFmtId="0" fontId="28" fillId="2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171450</xdr:rowOff>
    </xdr:from>
    <xdr:to>
      <xdr:col>2</xdr:col>
      <xdr:colOff>936129</xdr:colOff>
      <xdr:row>53</xdr:row>
      <xdr:rowOff>180521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85BF842-A86A-F8D7-FD02-BB75F0262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71250"/>
          <a:ext cx="3971429" cy="36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60B0-7DF0-4D76-AF24-31E12CC38BEA}">
  <sheetPr codeName="Sheet1"/>
  <dimension ref="A1:L124"/>
  <sheetViews>
    <sheetView tabSelected="1" topLeftCell="A97" zoomScale="80" zoomScaleNormal="80" workbookViewId="0">
      <selection activeCell="A117" sqref="A117:XFD117"/>
    </sheetView>
  </sheetViews>
  <sheetFormatPr defaultColWidth="8.75" defaultRowHeight="15.75"/>
  <cols>
    <col min="1" max="1" width="6.75" style="3" customWidth="1"/>
    <col min="2" max="2" width="34.75" style="10" customWidth="1"/>
    <col min="3" max="3" width="11.375" style="43" bestFit="1" customWidth="1"/>
    <col min="4" max="4" width="27.375" style="10" bestFit="1" customWidth="1"/>
    <col min="5" max="5" width="18.375" style="6" bestFit="1" customWidth="1"/>
    <col min="6" max="6" width="8.75" style="3"/>
    <col min="7" max="7" width="10.25" style="3" bestFit="1" customWidth="1"/>
    <col min="8" max="8" width="48.25" style="10" customWidth="1"/>
    <col min="9" max="9" width="54.25" style="31" customWidth="1"/>
    <col min="10" max="10" width="50.875" style="10" customWidth="1"/>
    <col min="11" max="11" width="16.5" style="10" bestFit="1" customWidth="1"/>
    <col min="12" max="12" width="13.875" style="10" customWidth="1"/>
    <col min="13" max="16384" width="8.75" style="3"/>
  </cols>
  <sheetData>
    <row r="1" spans="1:12">
      <c r="A1" s="2" t="s">
        <v>14</v>
      </c>
      <c r="B1" s="2" t="s">
        <v>15</v>
      </c>
      <c r="C1" s="4" t="s">
        <v>13</v>
      </c>
      <c r="D1" s="7" t="s">
        <v>283</v>
      </c>
      <c r="E1" s="2" t="s">
        <v>24</v>
      </c>
      <c r="F1" s="2" t="s">
        <v>25</v>
      </c>
      <c r="G1" s="2" t="s">
        <v>19</v>
      </c>
      <c r="H1" s="2" t="s">
        <v>187</v>
      </c>
      <c r="I1" s="30" t="s">
        <v>89</v>
      </c>
      <c r="J1" s="2" t="s">
        <v>91</v>
      </c>
      <c r="K1" s="7" t="s">
        <v>90</v>
      </c>
      <c r="L1" s="90" t="s">
        <v>3</v>
      </c>
    </row>
    <row r="2" spans="1:12" ht="47.25">
      <c r="A2" s="2">
        <v>1</v>
      </c>
      <c r="B2" s="7" t="s">
        <v>133</v>
      </c>
      <c r="C2" s="4">
        <v>45408</v>
      </c>
      <c r="D2" s="7" t="s">
        <v>16</v>
      </c>
      <c r="E2" s="22">
        <v>90000000</v>
      </c>
      <c r="F2" s="2" t="s">
        <v>26</v>
      </c>
      <c r="G2" s="2" t="s">
        <v>20</v>
      </c>
      <c r="H2" s="24" t="s">
        <v>223</v>
      </c>
      <c r="I2" s="41" t="s">
        <v>2</v>
      </c>
      <c r="J2" s="29" t="s">
        <v>0</v>
      </c>
      <c r="K2" s="85" t="s">
        <v>1</v>
      </c>
      <c r="L2" s="29" t="s">
        <v>6</v>
      </c>
    </row>
    <row r="3" spans="1:12">
      <c r="A3" s="2">
        <v>2</v>
      </c>
      <c r="B3" s="7" t="s">
        <v>93</v>
      </c>
      <c r="C3" s="4"/>
      <c r="D3" s="8" t="s">
        <v>31</v>
      </c>
      <c r="E3" s="22">
        <v>37870000</v>
      </c>
      <c r="F3" s="5">
        <v>0.1</v>
      </c>
      <c r="G3" s="2" t="s">
        <v>22</v>
      </c>
      <c r="H3" s="7" t="s">
        <v>92</v>
      </c>
      <c r="I3" s="30" t="s">
        <v>183</v>
      </c>
      <c r="J3" s="7" t="s">
        <v>182</v>
      </c>
      <c r="K3" s="7">
        <v>1013227596</v>
      </c>
      <c r="L3" s="91" t="s">
        <v>184</v>
      </c>
    </row>
    <row r="4" spans="1:12" ht="31.5">
      <c r="A4" s="2">
        <v>3</v>
      </c>
      <c r="B4" s="8" t="s">
        <v>132</v>
      </c>
      <c r="C4" s="4">
        <v>45631</v>
      </c>
      <c r="D4" s="7" t="s">
        <v>16</v>
      </c>
      <c r="E4" s="22">
        <v>90000000</v>
      </c>
      <c r="F4" s="2" t="s">
        <v>26</v>
      </c>
      <c r="G4" s="2" t="s">
        <v>20</v>
      </c>
      <c r="H4" s="24" t="s">
        <v>224</v>
      </c>
      <c r="I4" s="39" t="s">
        <v>2</v>
      </c>
      <c r="J4" s="8" t="s">
        <v>0</v>
      </c>
      <c r="K4" s="86" t="s">
        <v>1</v>
      </c>
      <c r="L4" s="8" t="s">
        <v>6</v>
      </c>
    </row>
    <row r="5" spans="1:12" ht="31.5">
      <c r="A5" s="2">
        <v>4</v>
      </c>
      <c r="B5" s="14" t="s">
        <v>17</v>
      </c>
      <c r="C5" s="15">
        <v>45631</v>
      </c>
      <c r="D5" s="14" t="s">
        <v>30</v>
      </c>
      <c r="E5" s="52">
        <v>7500000</v>
      </c>
      <c r="F5" s="16">
        <v>0.1</v>
      </c>
      <c r="G5" s="17" t="s">
        <v>22</v>
      </c>
      <c r="H5" s="33" t="s">
        <v>391</v>
      </c>
      <c r="I5" s="39" t="s">
        <v>5</v>
      </c>
      <c r="J5" s="8" t="s">
        <v>4</v>
      </c>
      <c r="K5" s="87" t="s">
        <v>10</v>
      </c>
      <c r="L5" s="91" t="s">
        <v>11</v>
      </c>
    </row>
    <row r="6" spans="1:12" ht="31.5">
      <c r="A6" s="2">
        <v>5</v>
      </c>
      <c r="B6" s="8" t="s">
        <v>18</v>
      </c>
      <c r="C6" s="4">
        <v>45631</v>
      </c>
      <c r="D6" s="8" t="s">
        <v>31</v>
      </c>
      <c r="E6" s="22">
        <v>37870000</v>
      </c>
      <c r="F6" s="5">
        <v>0.1</v>
      </c>
      <c r="G6" s="2" t="s">
        <v>22</v>
      </c>
      <c r="H6" s="24" t="s">
        <v>225</v>
      </c>
      <c r="I6" s="30" t="s">
        <v>183</v>
      </c>
      <c r="J6" s="7" t="s">
        <v>182</v>
      </c>
      <c r="K6" s="7">
        <v>1013227596</v>
      </c>
      <c r="L6" s="91" t="s">
        <v>184</v>
      </c>
    </row>
    <row r="7" spans="1:12">
      <c r="A7" s="2">
        <v>6</v>
      </c>
      <c r="B7" s="8" t="s">
        <v>35</v>
      </c>
      <c r="C7" s="4">
        <v>45635</v>
      </c>
      <c r="D7" s="8" t="s">
        <v>30</v>
      </c>
      <c r="E7" s="22">
        <v>13200000</v>
      </c>
      <c r="F7" s="5">
        <v>0.1</v>
      </c>
      <c r="G7" s="2" t="s">
        <v>21</v>
      </c>
      <c r="H7" s="7"/>
      <c r="I7" s="39" t="s">
        <v>5</v>
      </c>
      <c r="J7" s="8" t="s">
        <v>4</v>
      </c>
      <c r="K7" s="87" t="s">
        <v>10</v>
      </c>
      <c r="L7" s="91" t="s">
        <v>11</v>
      </c>
    </row>
    <row r="8" spans="1:12" ht="31.5">
      <c r="A8" s="2">
        <v>7</v>
      </c>
      <c r="B8" s="8" t="s">
        <v>36</v>
      </c>
      <c r="C8" s="4">
        <v>45640</v>
      </c>
      <c r="D8" s="8" t="s">
        <v>30</v>
      </c>
      <c r="E8" s="22">
        <v>5400000</v>
      </c>
      <c r="F8" s="5">
        <v>0.08</v>
      </c>
      <c r="G8" s="2" t="s">
        <v>23</v>
      </c>
      <c r="H8" s="24" t="s">
        <v>226</v>
      </c>
      <c r="I8" s="39" t="s">
        <v>5</v>
      </c>
      <c r="J8" s="8" t="s">
        <v>4</v>
      </c>
      <c r="K8" s="87" t="s">
        <v>10</v>
      </c>
      <c r="L8" s="91" t="s">
        <v>11</v>
      </c>
    </row>
    <row r="9" spans="1:12">
      <c r="A9" s="2">
        <v>8</v>
      </c>
      <c r="B9" s="8" t="s">
        <v>37</v>
      </c>
      <c r="C9" s="4">
        <v>45655</v>
      </c>
      <c r="D9" s="8" t="s">
        <v>30</v>
      </c>
      <c r="E9" s="22">
        <v>5400000</v>
      </c>
      <c r="F9" s="5">
        <v>0.08</v>
      </c>
      <c r="G9" s="2" t="s">
        <v>23</v>
      </c>
      <c r="H9" s="7"/>
      <c r="I9" s="39" t="s">
        <v>5</v>
      </c>
      <c r="J9" s="8" t="s">
        <v>4</v>
      </c>
      <c r="K9" s="87" t="s">
        <v>10</v>
      </c>
      <c r="L9" s="91" t="s">
        <v>11</v>
      </c>
    </row>
    <row r="10" spans="1:12">
      <c r="A10" s="2">
        <v>9</v>
      </c>
      <c r="B10" s="8" t="s">
        <v>34</v>
      </c>
      <c r="C10" s="4">
        <v>45709</v>
      </c>
      <c r="D10" s="8" t="s">
        <v>30</v>
      </c>
      <c r="E10" s="22">
        <v>2000000</v>
      </c>
      <c r="F10" s="2" t="s">
        <v>42</v>
      </c>
      <c r="G10" s="2" t="s">
        <v>22</v>
      </c>
      <c r="H10" s="7" t="s">
        <v>227</v>
      </c>
      <c r="I10" s="39" t="s">
        <v>5</v>
      </c>
      <c r="J10" s="8" t="s">
        <v>4</v>
      </c>
      <c r="K10" s="87" t="s">
        <v>10</v>
      </c>
      <c r="L10" s="91" t="s">
        <v>11</v>
      </c>
    </row>
    <row r="11" spans="1:12">
      <c r="A11" s="2">
        <v>10</v>
      </c>
      <c r="B11" s="9" t="s">
        <v>38</v>
      </c>
      <c r="C11" s="4">
        <v>45677</v>
      </c>
      <c r="D11" s="8" t="s">
        <v>30</v>
      </c>
      <c r="E11" s="22">
        <v>5400000</v>
      </c>
      <c r="F11" s="5">
        <v>0.08</v>
      </c>
      <c r="G11" s="2" t="s">
        <v>23</v>
      </c>
      <c r="H11" s="7"/>
      <c r="I11" s="39" t="s">
        <v>5</v>
      </c>
      <c r="J11" s="8" t="s">
        <v>4</v>
      </c>
      <c r="K11" s="87" t="s">
        <v>10</v>
      </c>
      <c r="L11" s="91" t="s">
        <v>11</v>
      </c>
    </row>
    <row r="12" spans="1:12">
      <c r="A12" s="2">
        <v>11</v>
      </c>
      <c r="B12" s="9" t="s">
        <v>39</v>
      </c>
      <c r="C12" s="4">
        <v>45726</v>
      </c>
      <c r="D12" s="8" t="s">
        <v>30</v>
      </c>
      <c r="E12" s="22">
        <v>5400000</v>
      </c>
      <c r="F12" s="5">
        <v>0.08</v>
      </c>
      <c r="G12" s="2" t="s">
        <v>23</v>
      </c>
      <c r="H12" s="7"/>
      <c r="I12" s="39" t="s">
        <v>5</v>
      </c>
      <c r="J12" s="8" t="s">
        <v>4</v>
      </c>
      <c r="K12" s="87" t="s">
        <v>10</v>
      </c>
      <c r="L12" s="91" t="s">
        <v>11</v>
      </c>
    </row>
    <row r="13" spans="1:12">
      <c r="A13" s="2">
        <v>12</v>
      </c>
      <c r="B13" s="9" t="s">
        <v>108</v>
      </c>
      <c r="C13" s="4">
        <v>45742</v>
      </c>
      <c r="D13" s="8" t="s">
        <v>109</v>
      </c>
      <c r="E13" s="22">
        <v>15000000</v>
      </c>
      <c r="F13" s="2" t="s">
        <v>26</v>
      </c>
      <c r="G13" s="2" t="s">
        <v>110</v>
      </c>
      <c r="H13" s="7"/>
      <c r="I13" s="30"/>
      <c r="J13" s="7"/>
      <c r="K13" s="7"/>
      <c r="L13" s="7"/>
    </row>
    <row r="14" spans="1:12" ht="47.25">
      <c r="A14" s="2">
        <v>13</v>
      </c>
      <c r="B14" s="9" t="s">
        <v>27</v>
      </c>
      <c r="C14" s="4">
        <v>45749</v>
      </c>
      <c r="D14" s="8" t="s">
        <v>29</v>
      </c>
      <c r="E14" s="22">
        <v>10800000</v>
      </c>
      <c r="F14" s="5">
        <v>0.08</v>
      </c>
      <c r="G14" s="2" t="s">
        <v>28</v>
      </c>
      <c r="H14" s="34" t="s">
        <v>219</v>
      </c>
      <c r="I14" s="39" t="s">
        <v>12</v>
      </c>
      <c r="J14" s="8" t="s">
        <v>7</v>
      </c>
      <c r="K14" s="88" t="s">
        <v>8</v>
      </c>
      <c r="L14" s="8" t="s">
        <v>9</v>
      </c>
    </row>
    <row r="15" spans="1:12">
      <c r="A15" s="2">
        <v>14</v>
      </c>
      <c r="B15" s="9" t="s">
        <v>40</v>
      </c>
      <c r="C15" s="4">
        <v>45757</v>
      </c>
      <c r="D15" s="8" t="s">
        <v>30</v>
      </c>
      <c r="E15" s="22">
        <v>5400000</v>
      </c>
      <c r="F15" s="5">
        <v>0.08</v>
      </c>
      <c r="G15" s="2" t="s">
        <v>23</v>
      </c>
      <c r="H15" s="7"/>
      <c r="I15" s="39" t="s">
        <v>5</v>
      </c>
      <c r="J15" s="8" t="s">
        <v>4</v>
      </c>
      <c r="K15" s="87" t="s">
        <v>10</v>
      </c>
      <c r="L15" s="91" t="s">
        <v>11</v>
      </c>
    </row>
    <row r="16" spans="1:12">
      <c r="A16" s="2">
        <v>15</v>
      </c>
      <c r="B16" s="9" t="s">
        <v>41</v>
      </c>
      <c r="C16" s="4">
        <v>45789</v>
      </c>
      <c r="D16" s="8" t="s">
        <v>30</v>
      </c>
      <c r="E16" s="22">
        <v>5400000</v>
      </c>
      <c r="F16" s="5">
        <v>0.08</v>
      </c>
      <c r="G16" s="2" t="s">
        <v>23</v>
      </c>
      <c r="H16" s="7"/>
      <c r="I16" s="39" t="s">
        <v>5</v>
      </c>
      <c r="J16" s="8" t="s">
        <v>4</v>
      </c>
      <c r="K16" s="87" t="s">
        <v>10</v>
      </c>
      <c r="L16" s="91" t="s">
        <v>11</v>
      </c>
    </row>
    <row r="17" spans="1:12">
      <c r="A17" s="2">
        <v>16</v>
      </c>
      <c r="B17" s="8" t="s">
        <v>131</v>
      </c>
      <c r="C17" s="4">
        <v>45791</v>
      </c>
      <c r="D17" s="7" t="s">
        <v>16</v>
      </c>
      <c r="E17" s="22">
        <v>90000000</v>
      </c>
      <c r="F17" s="2" t="s">
        <v>26</v>
      </c>
      <c r="G17" s="2" t="s">
        <v>20</v>
      </c>
      <c r="H17" s="7"/>
      <c r="I17" s="39" t="s">
        <v>2</v>
      </c>
      <c r="J17" s="8" t="s">
        <v>0</v>
      </c>
      <c r="K17" s="86" t="s">
        <v>1</v>
      </c>
      <c r="L17" s="8" t="s">
        <v>6</v>
      </c>
    </row>
    <row r="18" spans="1:12">
      <c r="A18" s="2">
        <v>17</v>
      </c>
      <c r="B18" s="8" t="s">
        <v>33</v>
      </c>
      <c r="C18" s="4">
        <v>45792</v>
      </c>
      <c r="D18" s="8" t="s">
        <v>30</v>
      </c>
      <c r="E18" s="22">
        <v>13200000</v>
      </c>
      <c r="F18" s="5">
        <v>0.1</v>
      </c>
      <c r="G18" s="2" t="s">
        <v>21</v>
      </c>
      <c r="H18" s="7"/>
      <c r="I18" s="39" t="s">
        <v>5</v>
      </c>
      <c r="J18" s="8" t="s">
        <v>4</v>
      </c>
      <c r="K18" s="87" t="s">
        <v>10</v>
      </c>
      <c r="L18" s="91" t="s">
        <v>11</v>
      </c>
    </row>
    <row r="19" spans="1:12">
      <c r="A19" s="2">
        <v>18</v>
      </c>
      <c r="B19" s="8" t="s">
        <v>32</v>
      </c>
      <c r="C19" s="4">
        <v>45792</v>
      </c>
      <c r="D19" s="8" t="s">
        <v>30</v>
      </c>
      <c r="E19" s="22">
        <v>13200000</v>
      </c>
      <c r="F19" s="5">
        <v>0.1</v>
      </c>
      <c r="G19" s="2" t="s">
        <v>21</v>
      </c>
      <c r="H19" s="7"/>
      <c r="I19" s="39" t="s">
        <v>5</v>
      </c>
      <c r="J19" s="8" t="s">
        <v>4</v>
      </c>
      <c r="K19" s="87" t="s">
        <v>10</v>
      </c>
      <c r="L19" s="91" t="s">
        <v>11</v>
      </c>
    </row>
    <row r="20" spans="1:12">
      <c r="A20" s="2">
        <v>19</v>
      </c>
      <c r="B20" s="9" t="s">
        <v>43</v>
      </c>
      <c r="C20" s="4">
        <v>45818</v>
      </c>
      <c r="D20" s="8" t="s">
        <v>30</v>
      </c>
      <c r="E20" s="22">
        <v>5400000</v>
      </c>
      <c r="F20" s="5">
        <v>0.08</v>
      </c>
      <c r="G20" s="2" t="s">
        <v>23</v>
      </c>
      <c r="H20" s="7"/>
      <c r="I20" s="39" t="s">
        <v>5</v>
      </c>
      <c r="J20" s="8" t="s">
        <v>4</v>
      </c>
      <c r="K20" s="87" t="s">
        <v>10</v>
      </c>
      <c r="L20" s="91" t="s">
        <v>11</v>
      </c>
    </row>
    <row r="21" spans="1:12">
      <c r="A21" s="2">
        <v>20</v>
      </c>
      <c r="B21" s="9" t="s">
        <v>44</v>
      </c>
      <c r="C21" s="4">
        <v>45848</v>
      </c>
      <c r="D21" s="8" t="s">
        <v>30</v>
      </c>
      <c r="E21" s="22">
        <v>5400000</v>
      </c>
      <c r="F21" s="5">
        <v>0.08</v>
      </c>
      <c r="G21" s="2" t="s">
        <v>23</v>
      </c>
      <c r="H21" s="7"/>
      <c r="I21" s="39" t="s">
        <v>5</v>
      </c>
      <c r="J21" s="8" t="s">
        <v>4</v>
      </c>
      <c r="K21" s="87" t="s">
        <v>10</v>
      </c>
      <c r="L21" s="91" t="s">
        <v>11</v>
      </c>
    </row>
    <row r="22" spans="1:12">
      <c r="A22" s="2">
        <v>21</v>
      </c>
      <c r="B22" s="9" t="s">
        <v>45</v>
      </c>
      <c r="C22" s="4">
        <v>45879</v>
      </c>
      <c r="D22" s="8" t="s">
        <v>30</v>
      </c>
      <c r="E22" s="22">
        <v>5400000</v>
      </c>
      <c r="F22" s="5">
        <v>0.08</v>
      </c>
      <c r="G22" s="2" t="s">
        <v>23</v>
      </c>
      <c r="H22" s="7"/>
      <c r="I22" s="39" t="s">
        <v>5</v>
      </c>
      <c r="J22" s="8" t="s">
        <v>4</v>
      </c>
      <c r="K22" s="87" t="s">
        <v>10</v>
      </c>
      <c r="L22" s="91" t="s">
        <v>11</v>
      </c>
    </row>
    <row r="23" spans="1:12" ht="31.5">
      <c r="A23" s="2">
        <v>22</v>
      </c>
      <c r="B23" s="9" t="s">
        <v>86</v>
      </c>
      <c r="C23" s="4">
        <v>45884</v>
      </c>
      <c r="D23" s="8" t="s">
        <v>49</v>
      </c>
      <c r="E23" s="22">
        <v>22696960</v>
      </c>
      <c r="F23" s="5">
        <v>0.1</v>
      </c>
      <c r="G23" s="2" t="s">
        <v>22</v>
      </c>
      <c r="H23" s="7" t="s">
        <v>50</v>
      </c>
      <c r="I23" s="39" t="s">
        <v>120</v>
      </c>
      <c r="J23" s="21" t="s">
        <v>121</v>
      </c>
      <c r="K23" s="88" t="s">
        <v>61</v>
      </c>
      <c r="L23" s="8" t="s">
        <v>119</v>
      </c>
    </row>
    <row r="24" spans="1:12" ht="31.5">
      <c r="A24" s="2">
        <v>23</v>
      </c>
      <c r="B24" s="9" t="s">
        <v>87</v>
      </c>
      <c r="C24" s="4">
        <v>45891</v>
      </c>
      <c r="D24" s="8" t="s">
        <v>49</v>
      </c>
      <c r="E24" s="22">
        <v>1578536960</v>
      </c>
      <c r="F24" s="5">
        <v>0.1</v>
      </c>
      <c r="G24" s="2" t="s">
        <v>22</v>
      </c>
      <c r="H24" s="7" t="s">
        <v>51</v>
      </c>
      <c r="I24" s="39" t="s">
        <v>120</v>
      </c>
      <c r="J24" s="21" t="s">
        <v>121</v>
      </c>
      <c r="K24" s="88" t="s">
        <v>61</v>
      </c>
      <c r="L24" s="8" t="s">
        <v>119</v>
      </c>
    </row>
    <row r="25" spans="1:12" ht="31.5">
      <c r="A25" s="2">
        <v>24</v>
      </c>
      <c r="B25" s="9" t="s">
        <v>87</v>
      </c>
      <c r="C25" s="4">
        <v>45898</v>
      </c>
      <c r="D25" s="8" t="s">
        <v>49</v>
      </c>
      <c r="E25" s="22">
        <v>138804481</v>
      </c>
      <c r="F25" s="5">
        <v>0.1</v>
      </c>
      <c r="G25" s="2" t="s">
        <v>22</v>
      </c>
      <c r="H25" s="7" t="s">
        <v>111</v>
      </c>
      <c r="I25" s="39" t="s">
        <v>120</v>
      </c>
      <c r="J25" s="21" t="s">
        <v>121</v>
      </c>
      <c r="K25" s="88" t="s">
        <v>61</v>
      </c>
      <c r="L25" s="8" t="s">
        <v>119</v>
      </c>
    </row>
    <row r="26" spans="1:12">
      <c r="A26" s="2">
        <v>25</v>
      </c>
      <c r="B26" s="9" t="s">
        <v>46</v>
      </c>
      <c r="C26" s="4">
        <v>45910</v>
      </c>
      <c r="D26" s="8" t="s">
        <v>30</v>
      </c>
      <c r="E26" s="22">
        <v>5400000</v>
      </c>
      <c r="F26" s="5">
        <v>0.08</v>
      </c>
      <c r="G26" s="2" t="s">
        <v>23</v>
      </c>
      <c r="H26" s="7"/>
      <c r="I26" s="39" t="s">
        <v>5</v>
      </c>
      <c r="J26" s="8" t="s">
        <v>4</v>
      </c>
      <c r="K26" s="87" t="s">
        <v>10</v>
      </c>
      <c r="L26" s="91" t="s">
        <v>11</v>
      </c>
    </row>
    <row r="27" spans="1:12">
      <c r="A27" s="2">
        <v>26</v>
      </c>
      <c r="B27" s="8" t="s">
        <v>47</v>
      </c>
      <c r="C27" s="4">
        <v>45910</v>
      </c>
      <c r="D27" s="8" t="s">
        <v>30</v>
      </c>
      <c r="E27" s="22">
        <v>13200000</v>
      </c>
      <c r="F27" s="5">
        <v>0.1</v>
      </c>
      <c r="G27" s="2" t="s">
        <v>21</v>
      </c>
      <c r="H27" s="7"/>
      <c r="I27" s="39" t="s">
        <v>5</v>
      </c>
      <c r="J27" s="8" t="s">
        <v>4</v>
      </c>
      <c r="K27" s="87" t="s">
        <v>10</v>
      </c>
      <c r="L27" s="91" t="s">
        <v>11</v>
      </c>
    </row>
    <row r="28" spans="1:12" ht="47.25">
      <c r="A28" s="2">
        <v>27</v>
      </c>
      <c r="B28" s="25" t="s">
        <v>48</v>
      </c>
      <c r="C28" s="26">
        <v>45986</v>
      </c>
      <c r="D28" s="25" t="s">
        <v>16</v>
      </c>
      <c r="E28" s="53">
        <v>27000000</v>
      </c>
      <c r="F28" s="28">
        <v>0.1</v>
      </c>
      <c r="G28" s="27" t="s">
        <v>22</v>
      </c>
      <c r="H28" s="35" t="s">
        <v>218</v>
      </c>
      <c r="I28" s="39" t="s">
        <v>2</v>
      </c>
      <c r="J28" s="8" t="s">
        <v>0</v>
      </c>
      <c r="K28" s="86" t="s">
        <v>1</v>
      </c>
      <c r="L28" s="8" t="s">
        <v>6</v>
      </c>
    </row>
    <row r="29" spans="1:12" ht="31.5">
      <c r="A29" s="2">
        <v>28</v>
      </c>
      <c r="B29" s="7" t="s">
        <v>220</v>
      </c>
      <c r="C29" s="4">
        <v>45933</v>
      </c>
      <c r="D29" s="7" t="s">
        <v>16</v>
      </c>
      <c r="E29" s="22">
        <v>748999679.99999988</v>
      </c>
      <c r="F29" s="5">
        <v>0.1</v>
      </c>
      <c r="G29" s="2" t="s">
        <v>21</v>
      </c>
      <c r="H29" s="7" t="s">
        <v>88</v>
      </c>
      <c r="I29" s="39" t="s">
        <v>120</v>
      </c>
      <c r="J29" s="21" t="s">
        <v>121</v>
      </c>
      <c r="K29" s="88" t="s">
        <v>61</v>
      </c>
      <c r="L29" s="8" t="s">
        <v>119</v>
      </c>
    </row>
    <row r="30" spans="1:12" ht="33">
      <c r="A30" s="2">
        <v>29</v>
      </c>
      <c r="B30" s="23" t="s">
        <v>112</v>
      </c>
      <c r="C30" s="4">
        <v>45933</v>
      </c>
      <c r="D30" s="7" t="s">
        <v>81</v>
      </c>
      <c r="E30" s="22">
        <v>841115000</v>
      </c>
      <c r="F30" s="5">
        <v>0.1</v>
      </c>
      <c r="G30" s="2" t="s">
        <v>22</v>
      </c>
      <c r="H30" s="24" t="s">
        <v>229</v>
      </c>
      <c r="I30" s="39" t="s">
        <v>59</v>
      </c>
      <c r="J30" s="68" t="s">
        <v>57</v>
      </c>
      <c r="K30" s="88" t="s">
        <v>58</v>
      </c>
      <c r="L30" s="8" t="s">
        <v>56</v>
      </c>
    </row>
    <row r="31" spans="1:12" ht="33">
      <c r="A31" s="2">
        <v>30</v>
      </c>
      <c r="B31" s="23" t="s">
        <v>113</v>
      </c>
      <c r="C31" s="4">
        <v>45933</v>
      </c>
      <c r="D31" s="7" t="s">
        <v>114</v>
      </c>
      <c r="E31" s="22">
        <v>60420000</v>
      </c>
      <c r="F31" s="5">
        <v>0.08</v>
      </c>
      <c r="G31" s="2" t="s">
        <v>22</v>
      </c>
      <c r="H31" s="24" t="s">
        <v>217</v>
      </c>
      <c r="I31" s="39" t="s">
        <v>100</v>
      </c>
      <c r="J31" s="8" t="s">
        <v>101</v>
      </c>
      <c r="K31" s="88" t="s">
        <v>102</v>
      </c>
      <c r="L31" s="8" t="s">
        <v>103</v>
      </c>
    </row>
    <row r="32" spans="1:12">
      <c r="A32" s="2">
        <v>31</v>
      </c>
      <c r="B32" s="9" t="s">
        <v>69</v>
      </c>
      <c r="C32" s="4">
        <v>45943</v>
      </c>
      <c r="D32" s="8" t="s">
        <v>30</v>
      </c>
      <c r="E32" s="22">
        <v>5400000</v>
      </c>
      <c r="F32" s="5">
        <v>0.08</v>
      </c>
      <c r="G32" s="2" t="s">
        <v>23</v>
      </c>
      <c r="H32" s="8" t="s">
        <v>153</v>
      </c>
      <c r="I32" s="39" t="s">
        <v>5</v>
      </c>
      <c r="J32" s="8" t="s">
        <v>4</v>
      </c>
      <c r="K32" s="87" t="s">
        <v>10</v>
      </c>
      <c r="L32" s="91" t="s">
        <v>11</v>
      </c>
    </row>
    <row r="33" spans="1:12" ht="31.5">
      <c r="A33" s="2">
        <v>32</v>
      </c>
      <c r="B33" s="9" t="s">
        <v>115</v>
      </c>
      <c r="C33" s="4">
        <v>45961</v>
      </c>
      <c r="D33" s="8" t="s">
        <v>116</v>
      </c>
      <c r="E33" s="22">
        <v>222619505</v>
      </c>
      <c r="F33" s="5">
        <v>0.1</v>
      </c>
      <c r="G33" s="2" t="s">
        <v>22</v>
      </c>
      <c r="H33" s="21" t="s">
        <v>62</v>
      </c>
      <c r="I33" s="39" t="s">
        <v>65</v>
      </c>
      <c r="J33" s="21" t="s">
        <v>63</v>
      </c>
      <c r="K33" s="88" t="s">
        <v>64</v>
      </c>
      <c r="L33" s="8" t="s">
        <v>66</v>
      </c>
    </row>
    <row r="34" spans="1:12" ht="31.5">
      <c r="A34" s="2">
        <v>33</v>
      </c>
      <c r="B34" s="9" t="s">
        <v>117</v>
      </c>
      <c r="C34" s="4">
        <v>45961</v>
      </c>
      <c r="D34" s="8" t="s">
        <v>116</v>
      </c>
      <c r="E34" s="22">
        <v>12280000</v>
      </c>
      <c r="F34" s="5">
        <v>0.1</v>
      </c>
      <c r="G34" s="2" t="s">
        <v>22</v>
      </c>
      <c r="H34" s="21" t="s">
        <v>67</v>
      </c>
      <c r="I34" s="39" t="s">
        <v>65</v>
      </c>
      <c r="J34" s="21" t="s">
        <v>63</v>
      </c>
      <c r="K34" s="88" t="s">
        <v>64</v>
      </c>
      <c r="L34" s="8" t="s">
        <v>66</v>
      </c>
    </row>
    <row r="35" spans="1:12" ht="33">
      <c r="A35" s="2">
        <v>34</v>
      </c>
      <c r="B35" s="23" t="s">
        <v>60</v>
      </c>
      <c r="C35" s="4">
        <v>45961</v>
      </c>
      <c r="D35" s="7" t="s">
        <v>81</v>
      </c>
      <c r="E35" s="22">
        <v>420557500</v>
      </c>
      <c r="F35" s="5">
        <v>0.1</v>
      </c>
      <c r="G35" s="2" t="s">
        <v>22</v>
      </c>
      <c r="H35" s="24" t="s">
        <v>230</v>
      </c>
      <c r="I35" s="39" t="s">
        <v>59</v>
      </c>
      <c r="J35" s="68" t="s">
        <v>57</v>
      </c>
      <c r="K35" s="88" t="s">
        <v>58</v>
      </c>
      <c r="L35" s="8" t="s">
        <v>56</v>
      </c>
    </row>
    <row r="36" spans="1:12" ht="47.25">
      <c r="A36" s="2">
        <v>35</v>
      </c>
      <c r="B36" s="7" t="s">
        <v>75</v>
      </c>
      <c r="C36" s="4">
        <v>45965</v>
      </c>
      <c r="D36" s="7" t="s">
        <v>76</v>
      </c>
      <c r="E36" s="22">
        <v>15456533</v>
      </c>
      <c r="F36" s="5">
        <v>0.1</v>
      </c>
      <c r="G36" s="2" t="s">
        <v>22</v>
      </c>
      <c r="H36" s="24" t="s">
        <v>228</v>
      </c>
      <c r="I36" s="39" t="s">
        <v>52</v>
      </c>
      <c r="J36" s="21" t="s">
        <v>53</v>
      </c>
      <c r="K36" s="88" t="s">
        <v>55</v>
      </c>
      <c r="L36" s="8" t="s">
        <v>54</v>
      </c>
    </row>
    <row r="37" spans="1:12" ht="31.5">
      <c r="A37" s="2">
        <v>36</v>
      </c>
      <c r="B37" s="9" t="s">
        <v>118</v>
      </c>
      <c r="C37" s="4">
        <v>45971</v>
      </c>
      <c r="D37" s="8" t="s">
        <v>30</v>
      </c>
      <c r="E37" s="22">
        <v>5400000</v>
      </c>
      <c r="F37" s="5">
        <v>0.08</v>
      </c>
      <c r="G37" s="2" t="s">
        <v>23</v>
      </c>
      <c r="H37" s="24" t="s">
        <v>216</v>
      </c>
      <c r="I37" s="39" t="s">
        <v>5</v>
      </c>
      <c r="J37" s="8" t="s">
        <v>4</v>
      </c>
      <c r="K37" s="87" t="s">
        <v>10</v>
      </c>
      <c r="L37" s="91" t="s">
        <v>11</v>
      </c>
    </row>
    <row r="38" spans="1:12" ht="33">
      <c r="A38" s="2">
        <v>37</v>
      </c>
      <c r="B38" s="7" t="s">
        <v>70</v>
      </c>
      <c r="C38" s="4">
        <v>45980</v>
      </c>
      <c r="D38" s="7" t="s">
        <v>71</v>
      </c>
      <c r="E38" s="22">
        <f>120840000*1.08-60420000</f>
        <v>70087200.000000015</v>
      </c>
      <c r="F38" s="5">
        <v>0.08</v>
      </c>
      <c r="G38" s="2" t="s">
        <v>22</v>
      </c>
      <c r="H38" s="24" t="s">
        <v>215</v>
      </c>
      <c r="I38" s="39" t="s">
        <v>100</v>
      </c>
      <c r="J38" s="8" t="s">
        <v>101</v>
      </c>
      <c r="K38" s="88" t="s">
        <v>102</v>
      </c>
      <c r="L38" s="8" t="s">
        <v>103</v>
      </c>
    </row>
    <row r="39" spans="1:12">
      <c r="A39" s="27">
        <v>38</v>
      </c>
      <c r="B39" s="25" t="s">
        <v>77</v>
      </c>
      <c r="C39" s="26"/>
      <c r="D39" s="25" t="s">
        <v>78</v>
      </c>
      <c r="E39" s="73">
        <f>14345</f>
        <v>14345</v>
      </c>
      <c r="F39" s="28">
        <v>0.1</v>
      </c>
      <c r="G39" s="27" t="s">
        <v>22</v>
      </c>
      <c r="H39" s="74" t="s">
        <v>419</v>
      </c>
      <c r="I39" s="30"/>
      <c r="J39" s="7"/>
      <c r="K39" s="7"/>
      <c r="L39" s="7"/>
    </row>
    <row r="40" spans="1:12" ht="33">
      <c r="A40" s="2">
        <v>39</v>
      </c>
      <c r="B40" s="7" t="s">
        <v>72</v>
      </c>
      <c r="C40" s="4">
        <v>45972</v>
      </c>
      <c r="D40" s="7" t="s">
        <v>73</v>
      </c>
      <c r="E40" s="22">
        <v>30019674</v>
      </c>
      <c r="F40" s="5">
        <v>0</v>
      </c>
      <c r="G40" s="2" t="s">
        <v>22</v>
      </c>
      <c r="H40" s="40" t="s">
        <v>244</v>
      </c>
      <c r="I40" s="42" t="s">
        <v>242</v>
      </c>
      <c r="J40" s="7" t="s">
        <v>243</v>
      </c>
      <c r="K40" s="7">
        <v>2141352252</v>
      </c>
      <c r="L40" s="7" t="s">
        <v>158</v>
      </c>
    </row>
    <row r="41" spans="1:12" ht="31.5">
      <c r="A41" s="2">
        <v>40</v>
      </c>
      <c r="B41" s="7" t="s">
        <v>79</v>
      </c>
      <c r="C41" s="4">
        <v>45980</v>
      </c>
      <c r="D41" s="8" t="s">
        <v>49</v>
      </c>
      <c r="E41" s="22">
        <v>1095080</v>
      </c>
      <c r="F41" s="5">
        <v>0.1</v>
      </c>
      <c r="G41" s="2" t="s">
        <v>22</v>
      </c>
      <c r="H41" s="21" t="s">
        <v>122</v>
      </c>
      <c r="I41" s="39" t="s">
        <v>120</v>
      </c>
      <c r="J41" s="21" t="s">
        <v>121</v>
      </c>
      <c r="K41" s="88" t="s">
        <v>61</v>
      </c>
      <c r="L41" s="8" t="s">
        <v>119</v>
      </c>
    </row>
    <row r="42" spans="1:12" ht="33">
      <c r="A42" s="17">
        <v>41</v>
      </c>
      <c r="B42" s="97" t="s">
        <v>80</v>
      </c>
      <c r="C42" s="98">
        <v>45972</v>
      </c>
      <c r="D42" s="99" t="s">
        <v>81</v>
      </c>
      <c r="E42" s="100">
        <v>0</v>
      </c>
      <c r="F42" s="101">
        <v>0.1</v>
      </c>
      <c r="G42" s="102" t="s">
        <v>22</v>
      </c>
      <c r="H42" s="36" t="s">
        <v>463</v>
      </c>
      <c r="I42" s="39" t="s">
        <v>59</v>
      </c>
      <c r="J42" s="68" t="s">
        <v>57</v>
      </c>
      <c r="K42" s="88" t="s">
        <v>58</v>
      </c>
      <c r="L42" s="8" t="s">
        <v>56</v>
      </c>
    </row>
    <row r="43" spans="1:12">
      <c r="A43" s="17">
        <v>42</v>
      </c>
      <c r="B43" s="18" t="s">
        <v>82</v>
      </c>
      <c r="C43" s="11">
        <v>45965</v>
      </c>
      <c r="D43" s="18" t="s">
        <v>83</v>
      </c>
      <c r="E43" s="20">
        <v>4852000</v>
      </c>
      <c r="F43" s="12">
        <v>0.1</v>
      </c>
      <c r="G43" s="13" t="s">
        <v>22</v>
      </c>
      <c r="H43" s="18"/>
      <c r="I43" s="30" t="s">
        <v>393</v>
      </c>
      <c r="J43" s="7"/>
      <c r="K43" s="7"/>
      <c r="L43" s="7"/>
    </row>
    <row r="44" spans="1:12" ht="63">
      <c r="A44" s="2">
        <v>43</v>
      </c>
      <c r="B44" s="7" t="s">
        <v>94</v>
      </c>
      <c r="C44" s="4">
        <v>45967</v>
      </c>
      <c r="D44" s="7" t="s">
        <v>84</v>
      </c>
      <c r="E44" s="19">
        <v>204714000</v>
      </c>
      <c r="F44" s="5">
        <v>0.1</v>
      </c>
      <c r="G44" s="2" t="s">
        <v>22</v>
      </c>
      <c r="H44" s="24" t="s">
        <v>232</v>
      </c>
      <c r="I44" s="39" t="s">
        <v>96</v>
      </c>
      <c r="J44" s="21" t="s">
        <v>95</v>
      </c>
      <c r="K44" s="88" t="s">
        <v>97</v>
      </c>
      <c r="L44" s="8" t="s">
        <v>98</v>
      </c>
    </row>
    <row r="45" spans="1:12" ht="31.5">
      <c r="A45" s="2">
        <v>44</v>
      </c>
      <c r="B45" s="7" t="s">
        <v>162</v>
      </c>
      <c r="C45" s="4">
        <v>45978</v>
      </c>
      <c r="D45" s="7" t="s">
        <v>161</v>
      </c>
      <c r="E45" s="19">
        <v>149600000</v>
      </c>
      <c r="F45" s="5">
        <v>0.1</v>
      </c>
      <c r="G45" s="2" t="s">
        <v>20</v>
      </c>
      <c r="H45" s="21" t="s">
        <v>107</v>
      </c>
      <c r="I45" s="39" t="s">
        <v>104</v>
      </c>
      <c r="J45" s="21" t="s">
        <v>105</v>
      </c>
      <c r="K45" s="88" t="s">
        <v>106</v>
      </c>
      <c r="L45" s="8" t="s">
        <v>66</v>
      </c>
    </row>
    <row r="46" spans="1:12">
      <c r="A46" s="17">
        <v>45</v>
      </c>
      <c r="B46" s="18" t="s">
        <v>68</v>
      </c>
      <c r="C46" s="11">
        <v>45965</v>
      </c>
      <c r="D46" s="18" t="s">
        <v>83</v>
      </c>
      <c r="E46" s="20">
        <v>2160000</v>
      </c>
      <c r="F46" s="12">
        <v>0.08</v>
      </c>
      <c r="G46" s="13" t="s">
        <v>22</v>
      </c>
      <c r="H46" s="18" t="s">
        <v>85</v>
      </c>
      <c r="I46" s="30" t="s">
        <v>393</v>
      </c>
      <c r="J46" s="7"/>
      <c r="K46" s="7"/>
      <c r="L46" s="7"/>
    </row>
    <row r="47" spans="1:12" ht="33">
      <c r="A47" s="2">
        <v>46</v>
      </c>
      <c r="B47" s="7" t="s">
        <v>74</v>
      </c>
      <c r="C47" s="4">
        <v>45968</v>
      </c>
      <c r="D47" s="7" t="s">
        <v>81</v>
      </c>
      <c r="E47" s="19">
        <v>420557500</v>
      </c>
      <c r="F47" s="5">
        <v>0.1</v>
      </c>
      <c r="G47" s="2" t="s">
        <v>22</v>
      </c>
      <c r="H47" s="24" t="s">
        <v>231</v>
      </c>
      <c r="I47" s="39" t="s">
        <v>59</v>
      </c>
      <c r="J47" s="68" t="s">
        <v>57</v>
      </c>
      <c r="K47" s="88" t="s">
        <v>58</v>
      </c>
      <c r="L47" s="8" t="s">
        <v>56</v>
      </c>
    </row>
    <row r="48" spans="1:12" ht="31.5">
      <c r="A48" s="2">
        <v>47</v>
      </c>
      <c r="B48" s="7" t="s">
        <v>68</v>
      </c>
      <c r="C48" s="4">
        <v>45974</v>
      </c>
      <c r="D48" s="7" t="s">
        <v>83</v>
      </c>
      <c r="E48" s="19">
        <v>2160000</v>
      </c>
      <c r="F48" s="5">
        <v>0.08</v>
      </c>
      <c r="G48" s="2" t="s">
        <v>22</v>
      </c>
      <c r="H48" s="24" t="s">
        <v>241</v>
      </c>
      <c r="I48" s="30" t="s">
        <v>152</v>
      </c>
      <c r="J48" s="7"/>
      <c r="K48" s="7"/>
      <c r="L48" s="7"/>
    </row>
    <row r="49" spans="1:12">
      <c r="A49" s="2">
        <v>48</v>
      </c>
      <c r="B49" s="7" t="s">
        <v>126</v>
      </c>
      <c r="C49" s="4">
        <v>45986</v>
      </c>
      <c r="D49" s="7" t="s">
        <v>125</v>
      </c>
      <c r="E49" s="19">
        <v>27160000</v>
      </c>
      <c r="F49" s="5">
        <v>0.08</v>
      </c>
      <c r="G49" s="2" t="s">
        <v>22</v>
      </c>
      <c r="H49" s="8" t="s">
        <v>127</v>
      </c>
      <c r="I49" s="39" t="s">
        <v>124</v>
      </c>
      <c r="J49" s="21" t="s">
        <v>135</v>
      </c>
      <c r="K49" s="88" t="s">
        <v>123</v>
      </c>
      <c r="L49" s="8" t="s">
        <v>66</v>
      </c>
    </row>
    <row r="50" spans="1:12">
      <c r="A50" s="2">
        <v>49</v>
      </c>
      <c r="B50" s="7" t="s">
        <v>128</v>
      </c>
      <c r="C50" s="4">
        <v>45986</v>
      </c>
      <c r="D50" s="7" t="s">
        <v>129</v>
      </c>
      <c r="E50" s="19">
        <v>10800000</v>
      </c>
      <c r="F50" s="5">
        <v>0.08</v>
      </c>
      <c r="G50" s="2" t="s">
        <v>22</v>
      </c>
      <c r="H50" s="7" t="s">
        <v>214</v>
      </c>
      <c r="I50" s="39" t="s">
        <v>130</v>
      </c>
      <c r="J50" s="21" t="s">
        <v>138</v>
      </c>
      <c r="K50" s="88" t="s">
        <v>137</v>
      </c>
      <c r="L50" s="8" t="s">
        <v>136</v>
      </c>
    </row>
    <row r="51" spans="1:12" ht="31.5">
      <c r="A51" s="17">
        <v>50</v>
      </c>
      <c r="B51" s="18" t="s">
        <v>163</v>
      </c>
      <c r="C51" s="11">
        <v>45986</v>
      </c>
      <c r="D51" s="37" t="s">
        <v>235</v>
      </c>
      <c r="E51" s="20">
        <v>3894000</v>
      </c>
      <c r="F51" s="12">
        <v>0.08</v>
      </c>
      <c r="G51" s="13" t="s">
        <v>22</v>
      </c>
      <c r="H51" s="18" t="s">
        <v>164</v>
      </c>
      <c r="I51" s="30" t="s">
        <v>392</v>
      </c>
      <c r="J51" s="7"/>
      <c r="K51" s="7"/>
      <c r="L51" s="7"/>
    </row>
    <row r="52" spans="1:12" ht="31.5">
      <c r="A52" s="2">
        <v>51</v>
      </c>
      <c r="B52" s="8" t="s">
        <v>134</v>
      </c>
      <c r="C52" s="4">
        <v>45986</v>
      </c>
      <c r="D52" s="7" t="s">
        <v>16</v>
      </c>
      <c r="E52" s="22">
        <f>77550000</f>
        <v>77550000</v>
      </c>
      <c r="F52" s="5">
        <v>0.1</v>
      </c>
      <c r="G52" s="2" t="s">
        <v>20</v>
      </c>
      <c r="H52" s="24" t="s">
        <v>213</v>
      </c>
      <c r="I52" s="39" t="s">
        <v>2</v>
      </c>
      <c r="J52" s="8" t="s">
        <v>0</v>
      </c>
      <c r="K52" s="86" t="s">
        <v>1</v>
      </c>
      <c r="L52" s="8" t="s">
        <v>6</v>
      </c>
    </row>
    <row r="53" spans="1:12" ht="17.25">
      <c r="A53" s="2">
        <v>52</v>
      </c>
      <c r="B53" s="7" t="s">
        <v>139</v>
      </c>
      <c r="C53" s="4">
        <v>45986</v>
      </c>
      <c r="D53" s="7" t="s">
        <v>140</v>
      </c>
      <c r="E53" s="19">
        <v>26360000</v>
      </c>
      <c r="F53" s="5">
        <v>0.08</v>
      </c>
      <c r="G53" s="2" t="s">
        <v>22</v>
      </c>
      <c r="H53" s="7" t="s">
        <v>155</v>
      </c>
      <c r="I53" s="39" t="s">
        <v>144</v>
      </c>
      <c r="J53" s="21" t="s">
        <v>142</v>
      </c>
      <c r="K53" s="88" t="s">
        <v>141</v>
      </c>
      <c r="L53" s="8" t="s">
        <v>143</v>
      </c>
    </row>
    <row r="54" spans="1:12" ht="31.5">
      <c r="A54" s="2">
        <v>53</v>
      </c>
      <c r="B54" s="7" t="s">
        <v>150</v>
      </c>
      <c r="C54" s="4">
        <v>45986</v>
      </c>
      <c r="D54" s="7" t="s">
        <v>151</v>
      </c>
      <c r="E54" s="19">
        <v>66000000</v>
      </c>
      <c r="F54" s="5">
        <v>0.1</v>
      </c>
      <c r="G54" s="2" t="s">
        <v>28</v>
      </c>
      <c r="H54" s="24" t="s">
        <v>149</v>
      </c>
      <c r="I54" s="39" t="s">
        <v>147</v>
      </c>
      <c r="J54" s="8" t="s">
        <v>145</v>
      </c>
      <c r="K54" s="88" t="s">
        <v>146</v>
      </c>
      <c r="L54" s="8" t="s">
        <v>148</v>
      </c>
    </row>
    <row r="55" spans="1:12" ht="47.25">
      <c r="A55" s="2">
        <v>54</v>
      </c>
      <c r="B55" s="7" t="s">
        <v>154</v>
      </c>
      <c r="C55" s="4">
        <v>45994</v>
      </c>
      <c r="D55" s="7" t="s">
        <v>156</v>
      </c>
      <c r="E55" s="19">
        <v>100000000</v>
      </c>
      <c r="F55" s="5">
        <v>0</v>
      </c>
      <c r="G55" s="2" t="s">
        <v>22</v>
      </c>
      <c r="H55" s="24" t="s">
        <v>159</v>
      </c>
      <c r="I55" s="30" t="s">
        <v>160</v>
      </c>
      <c r="J55" s="24" t="s">
        <v>157</v>
      </c>
      <c r="K55" s="7">
        <v>8606917888</v>
      </c>
      <c r="L55" s="7" t="s">
        <v>158</v>
      </c>
    </row>
    <row r="56" spans="1:12" ht="31.5">
      <c r="A56" s="2">
        <v>55</v>
      </c>
      <c r="B56" s="7" t="s">
        <v>166</v>
      </c>
      <c r="C56" s="4">
        <v>45996</v>
      </c>
      <c r="D56" s="7" t="s">
        <v>188</v>
      </c>
      <c r="E56" s="19">
        <v>26601108</v>
      </c>
      <c r="F56" s="5">
        <v>0.08</v>
      </c>
      <c r="G56" s="2" t="s">
        <v>22</v>
      </c>
      <c r="H56" s="24" t="s">
        <v>208</v>
      </c>
      <c r="I56" s="30" t="s">
        <v>65</v>
      </c>
      <c r="J56" s="24" t="s">
        <v>167</v>
      </c>
      <c r="K56" s="7">
        <v>9897666666</v>
      </c>
      <c r="L56" s="7" t="s">
        <v>66</v>
      </c>
    </row>
    <row r="57" spans="1:12" ht="31.5">
      <c r="A57" s="2">
        <v>56</v>
      </c>
      <c r="B57" s="7" t="s">
        <v>165</v>
      </c>
      <c r="C57" s="4">
        <v>46003</v>
      </c>
      <c r="D57" s="24" t="s">
        <v>170</v>
      </c>
      <c r="E57" s="19">
        <v>129600000</v>
      </c>
      <c r="F57" s="5">
        <v>0.08</v>
      </c>
      <c r="G57" s="2" t="s">
        <v>22</v>
      </c>
      <c r="H57" s="7" t="s">
        <v>171</v>
      </c>
      <c r="I57" s="30" t="s">
        <v>168</v>
      </c>
      <c r="J57" s="24" t="s">
        <v>169</v>
      </c>
      <c r="K57" s="24">
        <v>3236399999</v>
      </c>
      <c r="L57" s="24" t="s">
        <v>66</v>
      </c>
    </row>
    <row r="58" spans="1:12" ht="31.5">
      <c r="A58" s="2">
        <v>57</v>
      </c>
      <c r="B58" s="7" t="s">
        <v>139</v>
      </c>
      <c r="C58" s="4">
        <v>46007</v>
      </c>
      <c r="D58" s="7" t="s">
        <v>181</v>
      </c>
      <c r="E58" s="19">
        <v>26935000</v>
      </c>
      <c r="F58" s="5">
        <v>0.1</v>
      </c>
      <c r="G58" s="2" t="s">
        <v>22</v>
      </c>
      <c r="H58" s="24" t="s">
        <v>209</v>
      </c>
      <c r="I58" s="39" t="s">
        <v>174</v>
      </c>
      <c r="J58" s="21" t="s">
        <v>180</v>
      </c>
      <c r="K58" s="88" t="s">
        <v>172</v>
      </c>
      <c r="L58" s="8" t="s">
        <v>173</v>
      </c>
    </row>
    <row r="59" spans="1:12" ht="31.5">
      <c r="A59" s="2">
        <v>58</v>
      </c>
      <c r="B59" s="7" t="s">
        <v>175</v>
      </c>
      <c r="C59" s="4">
        <v>46000</v>
      </c>
      <c r="D59" s="7" t="s">
        <v>156</v>
      </c>
      <c r="E59" s="19">
        <v>60000000</v>
      </c>
      <c r="F59" s="5">
        <v>0</v>
      </c>
      <c r="G59" s="2" t="s">
        <v>22</v>
      </c>
      <c r="H59" s="24" t="s">
        <v>176</v>
      </c>
      <c r="I59" s="39" t="s">
        <v>177</v>
      </c>
      <c r="J59" s="21" t="s">
        <v>178</v>
      </c>
      <c r="K59" s="88" t="s">
        <v>179</v>
      </c>
      <c r="L59" s="8" t="s">
        <v>158</v>
      </c>
    </row>
    <row r="60" spans="1:12" ht="31.5">
      <c r="A60" s="2">
        <v>59</v>
      </c>
      <c r="B60" s="7" t="s">
        <v>185</v>
      </c>
      <c r="C60" s="4">
        <v>46006</v>
      </c>
      <c r="D60" s="8" t="s">
        <v>49</v>
      </c>
      <c r="E60" s="22">
        <v>1914684</v>
      </c>
      <c r="F60" s="5">
        <v>0.1</v>
      </c>
      <c r="G60" s="2" t="s">
        <v>22</v>
      </c>
      <c r="H60" s="21" t="s">
        <v>186</v>
      </c>
      <c r="I60" s="39" t="s">
        <v>120</v>
      </c>
      <c r="J60" s="21" t="s">
        <v>121</v>
      </c>
      <c r="K60" s="88" t="s">
        <v>61</v>
      </c>
      <c r="L60" s="8" t="s">
        <v>119</v>
      </c>
    </row>
    <row r="61" spans="1:12">
      <c r="A61" s="2">
        <v>60</v>
      </c>
      <c r="B61" s="7" t="s">
        <v>192</v>
      </c>
      <c r="C61" s="4">
        <v>46006</v>
      </c>
      <c r="D61" s="7" t="s">
        <v>194</v>
      </c>
      <c r="E61" s="19">
        <v>9600000</v>
      </c>
      <c r="F61" s="5">
        <v>0</v>
      </c>
      <c r="G61" s="2" t="s">
        <v>196</v>
      </c>
      <c r="H61" s="7" t="s">
        <v>210</v>
      </c>
      <c r="I61" s="30" t="s">
        <v>160</v>
      </c>
      <c r="J61" s="24" t="s">
        <v>189</v>
      </c>
      <c r="K61" s="7">
        <v>8857090931</v>
      </c>
      <c r="L61" s="7" t="s">
        <v>158</v>
      </c>
    </row>
    <row r="62" spans="1:12">
      <c r="A62" s="2">
        <v>61</v>
      </c>
      <c r="B62" s="7" t="s">
        <v>193</v>
      </c>
      <c r="C62" s="4">
        <v>46006</v>
      </c>
      <c r="D62" s="7" t="s">
        <v>195</v>
      </c>
      <c r="E62" s="19">
        <v>2500000</v>
      </c>
      <c r="F62" s="5">
        <v>0</v>
      </c>
      <c r="G62" s="2" t="s">
        <v>196</v>
      </c>
      <c r="H62" s="7" t="s">
        <v>211</v>
      </c>
      <c r="I62" s="30" t="s">
        <v>160</v>
      </c>
      <c r="J62" s="24" t="s">
        <v>190</v>
      </c>
      <c r="K62" s="7">
        <v>8867306806</v>
      </c>
      <c r="L62" s="7" t="s">
        <v>158</v>
      </c>
    </row>
    <row r="63" spans="1:12" ht="31.5">
      <c r="A63" s="2">
        <v>62</v>
      </c>
      <c r="B63" s="7" t="s">
        <v>191</v>
      </c>
      <c r="C63" s="4">
        <v>46009</v>
      </c>
      <c r="D63" s="7" t="s">
        <v>188</v>
      </c>
      <c r="E63" s="19">
        <v>291011641</v>
      </c>
      <c r="F63" s="5">
        <v>0.08</v>
      </c>
      <c r="G63" s="2" t="s">
        <v>22</v>
      </c>
      <c r="H63" s="7" t="s">
        <v>212</v>
      </c>
      <c r="I63" s="30" t="s">
        <v>65</v>
      </c>
      <c r="J63" s="24" t="s">
        <v>167</v>
      </c>
      <c r="K63" s="7">
        <v>9897666666</v>
      </c>
      <c r="L63" s="7" t="s">
        <v>66</v>
      </c>
    </row>
    <row r="64" spans="1:12" ht="17.25">
      <c r="A64" s="2">
        <v>63</v>
      </c>
      <c r="B64" s="7" t="s">
        <v>197</v>
      </c>
      <c r="C64" s="4">
        <v>46010</v>
      </c>
      <c r="D64" s="7" t="s">
        <v>199</v>
      </c>
      <c r="E64" s="19">
        <v>21950000</v>
      </c>
      <c r="F64" s="5">
        <v>0</v>
      </c>
      <c r="G64" s="2" t="s">
        <v>198</v>
      </c>
      <c r="H64" s="7" t="s">
        <v>200</v>
      </c>
      <c r="I64" s="30" t="s">
        <v>203</v>
      </c>
      <c r="J64" s="24" t="s">
        <v>205</v>
      </c>
      <c r="K64" s="7">
        <v>21137519</v>
      </c>
      <c r="L64" s="7" t="s">
        <v>204</v>
      </c>
    </row>
    <row r="65" spans="1:12" ht="17.25">
      <c r="A65" s="2">
        <v>64</v>
      </c>
      <c r="B65" s="7" t="s">
        <v>236</v>
      </c>
      <c r="C65" s="4">
        <v>46022</v>
      </c>
      <c r="D65" s="7" t="s">
        <v>201</v>
      </c>
      <c r="E65" s="19">
        <v>25920000</v>
      </c>
      <c r="F65" s="5">
        <v>0.08</v>
      </c>
      <c r="G65" s="2" t="s">
        <v>202</v>
      </c>
      <c r="H65" s="7" t="s">
        <v>222</v>
      </c>
      <c r="I65" s="30" t="s">
        <v>207</v>
      </c>
      <c r="J65" s="24" t="s">
        <v>206</v>
      </c>
      <c r="K65" s="7">
        <v>8601172888</v>
      </c>
      <c r="L65" s="7" t="s">
        <v>158</v>
      </c>
    </row>
    <row r="66" spans="1:12" ht="31.5">
      <c r="A66" s="2">
        <v>65</v>
      </c>
      <c r="B66" s="7" t="s">
        <v>221</v>
      </c>
      <c r="C66" s="4">
        <v>46022</v>
      </c>
      <c r="D66" s="7" t="s">
        <v>16</v>
      </c>
      <c r="E66" s="22">
        <v>748999679.99999988</v>
      </c>
      <c r="F66" s="5">
        <v>0.1</v>
      </c>
      <c r="G66" s="2" t="s">
        <v>21</v>
      </c>
      <c r="H66" s="7" t="s">
        <v>233</v>
      </c>
      <c r="I66" s="39" t="s">
        <v>120</v>
      </c>
      <c r="J66" s="21" t="s">
        <v>121</v>
      </c>
      <c r="K66" s="88" t="s">
        <v>61</v>
      </c>
      <c r="L66" s="8" t="s">
        <v>119</v>
      </c>
    </row>
    <row r="67" spans="1:12" ht="17.25">
      <c r="A67" s="2">
        <v>66</v>
      </c>
      <c r="B67" s="7" t="s">
        <v>234</v>
      </c>
      <c r="C67" s="4">
        <v>46022</v>
      </c>
      <c r="D67" s="7" t="s">
        <v>199</v>
      </c>
      <c r="E67" s="19">
        <v>1344000</v>
      </c>
      <c r="F67" s="5">
        <v>0</v>
      </c>
      <c r="G67" s="2" t="s">
        <v>198</v>
      </c>
      <c r="H67" s="7" t="s">
        <v>200</v>
      </c>
      <c r="I67" s="30" t="s">
        <v>203</v>
      </c>
      <c r="J67" s="24" t="s">
        <v>205</v>
      </c>
      <c r="K67" s="7">
        <v>21137519</v>
      </c>
      <c r="L67" s="7" t="s">
        <v>204</v>
      </c>
    </row>
    <row r="68" spans="1:12" ht="31.5">
      <c r="A68" s="2">
        <v>67</v>
      </c>
      <c r="B68" s="7" t="s">
        <v>68</v>
      </c>
      <c r="C68" s="4">
        <v>46022</v>
      </c>
      <c r="D68" s="7" t="s">
        <v>237</v>
      </c>
      <c r="E68" s="19">
        <v>10888000</v>
      </c>
      <c r="F68" s="5">
        <v>0.08</v>
      </c>
      <c r="G68" s="2" t="s">
        <v>22</v>
      </c>
      <c r="H68" s="7" t="s">
        <v>238</v>
      </c>
      <c r="I68" s="30" t="s">
        <v>96</v>
      </c>
      <c r="J68" s="24" t="s">
        <v>239</v>
      </c>
      <c r="K68" s="7">
        <v>1118688888</v>
      </c>
      <c r="L68" s="7" t="s">
        <v>98</v>
      </c>
    </row>
    <row r="69" spans="1:12" ht="31.5">
      <c r="A69" s="2">
        <v>68</v>
      </c>
      <c r="B69" s="37" t="s">
        <v>386</v>
      </c>
      <c r="C69" s="11">
        <v>46022</v>
      </c>
      <c r="D69" s="18" t="s">
        <v>240</v>
      </c>
      <c r="E69" s="38">
        <f>2200000+5000000+5700000+1300000</f>
        <v>14200000</v>
      </c>
      <c r="F69" s="12">
        <v>0.1</v>
      </c>
      <c r="G69" s="13" t="s">
        <v>22</v>
      </c>
      <c r="H69" s="37" t="s">
        <v>394</v>
      </c>
      <c r="I69" s="39" t="s">
        <v>392</v>
      </c>
      <c r="J69" s="21"/>
      <c r="K69" s="88"/>
      <c r="L69" s="8"/>
    </row>
    <row r="70" spans="1:12">
      <c r="A70" s="2">
        <v>69</v>
      </c>
      <c r="B70" s="7" t="s">
        <v>249</v>
      </c>
      <c r="C70" s="4">
        <v>46022</v>
      </c>
      <c r="D70" s="7" t="s">
        <v>250</v>
      </c>
      <c r="E70" s="22">
        <v>28270000</v>
      </c>
      <c r="F70" s="5">
        <v>0.1</v>
      </c>
      <c r="G70" s="2" t="s">
        <v>22</v>
      </c>
      <c r="H70" s="7" t="s">
        <v>251</v>
      </c>
      <c r="I70" s="39" t="s">
        <v>248</v>
      </c>
      <c r="J70" s="21" t="s">
        <v>247</v>
      </c>
      <c r="K70" s="88" t="s">
        <v>245</v>
      </c>
      <c r="L70" s="8" t="s">
        <v>246</v>
      </c>
    </row>
    <row r="71" spans="1:12">
      <c r="A71" s="2">
        <v>70</v>
      </c>
      <c r="B71" s="7" t="s">
        <v>252</v>
      </c>
      <c r="C71" s="4">
        <v>46022</v>
      </c>
      <c r="D71" s="7" t="s">
        <v>258</v>
      </c>
      <c r="E71" s="22">
        <v>2277361</v>
      </c>
      <c r="F71" s="5">
        <v>0</v>
      </c>
      <c r="G71" s="2" t="s">
        <v>293</v>
      </c>
      <c r="H71" s="7" t="s">
        <v>253</v>
      </c>
      <c r="I71" s="39" t="s">
        <v>256</v>
      </c>
      <c r="J71" s="21" t="s">
        <v>257</v>
      </c>
      <c r="K71" s="88" t="s">
        <v>254</v>
      </c>
      <c r="L71" s="8" t="s">
        <v>255</v>
      </c>
    </row>
    <row r="72" spans="1:12">
      <c r="A72" s="2">
        <v>71</v>
      </c>
      <c r="B72" s="18" t="s">
        <v>259</v>
      </c>
      <c r="C72" s="11">
        <v>46035</v>
      </c>
      <c r="D72" s="18" t="s">
        <v>260</v>
      </c>
      <c r="E72" s="38">
        <v>2535000</v>
      </c>
      <c r="F72" s="12">
        <v>0.08</v>
      </c>
      <c r="G72" s="13" t="s">
        <v>22</v>
      </c>
      <c r="H72" s="18" t="s">
        <v>262</v>
      </c>
      <c r="I72" s="39" t="s">
        <v>393</v>
      </c>
      <c r="J72" s="21"/>
      <c r="K72" s="88"/>
      <c r="L72" s="8"/>
    </row>
    <row r="73" spans="1:12" ht="126">
      <c r="A73" s="2">
        <v>73</v>
      </c>
      <c r="B73" s="18" t="s">
        <v>263</v>
      </c>
      <c r="C73" s="11">
        <v>46035</v>
      </c>
      <c r="D73" s="18" t="s">
        <v>264</v>
      </c>
      <c r="E73" s="38">
        <v>1615075</v>
      </c>
      <c r="F73" s="12">
        <v>0.08</v>
      </c>
      <c r="G73" s="13" t="s">
        <v>22</v>
      </c>
      <c r="H73" s="37" t="s">
        <v>265</v>
      </c>
      <c r="I73" s="39" t="s">
        <v>392</v>
      </c>
      <c r="J73" s="21"/>
      <c r="K73" s="88"/>
      <c r="L73" s="8"/>
    </row>
    <row r="74" spans="1:12" ht="32.25" customHeight="1">
      <c r="A74" s="2">
        <v>75</v>
      </c>
      <c r="B74" s="7" t="s">
        <v>266</v>
      </c>
      <c r="C74" s="4">
        <v>46035</v>
      </c>
      <c r="D74" s="7" t="s">
        <v>267</v>
      </c>
      <c r="E74" s="22">
        <v>1125720</v>
      </c>
      <c r="F74" s="5">
        <v>0.1</v>
      </c>
      <c r="G74" s="2" t="s">
        <v>292</v>
      </c>
      <c r="H74" s="7" t="s">
        <v>268</v>
      </c>
      <c r="I74" s="39" t="s">
        <v>270</v>
      </c>
      <c r="J74" s="21" t="s">
        <v>121</v>
      </c>
      <c r="K74" s="88" t="s">
        <v>61</v>
      </c>
      <c r="L74" s="8" t="s">
        <v>119</v>
      </c>
    </row>
    <row r="75" spans="1:12">
      <c r="A75" s="2">
        <v>76</v>
      </c>
      <c r="B75" s="18" t="s">
        <v>269</v>
      </c>
      <c r="C75" s="11">
        <v>46035</v>
      </c>
      <c r="D75" s="18" t="s">
        <v>271</v>
      </c>
      <c r="E75" s="38">
        <v>3355000</v>
      </c>
      <c r="F75" s="12">
        <v>0.1</v>
      </c>
      <c r="G75" s="13" t="s">
        <v>22</v>
      </c>
      <c r="H75" s="18" t="s">
        <v>272</v>
      </c>
      <c r="I75" s="39" t="s">
        <v>393</v>
      </c>
      <c r="J75" s="4"/>
      <c r="K75" s="7"/>
      <c r="L75" s="8"/>
    </row>
    <row r="76" spans="1:12" ht="241.5" customHeight="1">
      <c r="A76" s="2">
        <v>77</v>
      </c>
      <c r="B76" s="18" t="s">
        <v>273</v>
      </c>
      <c r="C76" s="11">
        <v>46035</v>
      </c>
      <c r="D76" s="18" t="s">
        <v>395</v>
      </c>
      <c r="E76" s="38">
        <v>10217000</v>
      </c>
      <c r="F76" s="12">
        <v>0</v>
      </c>
      <c r="G76" s="13" t="s">
        <v>22</v>
      </c>
      <c r="H76" s="44" t="s">
        <v>274</v>
      </c>
      <c r="I76" s="39" t="s">
        <v>393</v>
      </c>
      <c r="J76" s="2"/>
      <c r="K76" s="7"/>
      <c r="L76" s="8"/>
    </row>
    <row r="77" spans="1:12" ht="29.25" customHeight="1">
      <c r="A77" s="2">
        <v>78</v>
      </c>
      <c r="B77" s="7" t="s">
        <v>275</v>
      </c>
      <c r="C77" s="4">
        <v>46060</v>
      </c>
      <c r="D77" s="7" t="s">
        <v>279</v>
      </c>
      <c r="E77" s="22">
        <v>7560000</v>
      </c>
      <c r="F77" s="5">
        <v>0.08</v>
      </c>
      <c r="G77" s="2" t="s">
        <v>22</v>
      </c>
      <c r="H77" s="7" t="s">
        <v>276</v>
      </c>
      <c r="I77" s="39" t="s">
        <v>277</v>
      </c>
      <c r="J77" s="4" t="s">
        <v>278</v>
      </c>
      <c r="K77" s="7">
        <v>565336699</v>
      </c>
      <c r="L77" s="8" t="s">
        <v>261</v>
      </c>
    </row>
    <row r="78" spans="1:12" ht="33" customHeight="1">
      <c r="A78" s="2">
        <v>79</v>
      </c>
      <c r="B78" s="7" t="s">
        <v>280</v>
      </c>
      <c r="C78" s="4">
        <v>46060</v>
      </c>
      <c r="D78" s="7" t="s">
        <v>281</v>
      </c>
      <c r="E78" s="22">
        <v>25344000</v>
      </c>
      <c r="F78" s="5">
        <v>0.1</v>
      </c>
      <c r="G78" s="2" t="s">
        <v>22</v>
      </c>
      <c r="H78" s="7" t="s">
        <v>282</v>
      </c>
      <c r="I78" s="45" t="s">
        <v>289</v>
      </c>
      <c r="J78" s="4" t="s">
        <v>284</v>
      </c>
      <c r="K78" s="7">
        <v>1057635555</v>
      </c>
      <c r="L78" s="8" t="s">
        <v>56</v>
      </c>
    </row>
    <row r="79" spans="1:12" ht="22.5" customHeight="1">
      <c r="A79" s="2">
        <v>80</v>
      </c>
      <c r="B79" s="18" t="s">
        <v>286</v>
      </c>
      <c r="C79" s="11">
        <v>46035</v>
      </c>
      <c r="D79" s="18" t="s">
        <v>285</v>
      </c>
      <c r="E79" s="38">
        <v>4400000</v>
      </c>
      <c r="F79" s="12">
        <v>0.1</v>
      </c>
      <c r="G79" s="13" t="s">
        <v>22</v>
      </c>
      <c r="H79" s="18" t="s">
        <v>287</v>
      </c>
      <c r="I79" s="39" t="s">
        <v>393</v>
      </c>
      <c r="J79" s="4"/>
      <c r="K79" s="7"/>
      <c r="L79" s="8"/>
    </row>
    <row r="80" spans="1:12" ht="33" customHeight="1">
      <c r="A80" s="2">
        <v>81</v>
      </c>
      <c r="B80" s="25" t="s">
        <v>288</v>
      </c>
      <c r="C80" s="26">
        <v>46064</v>
      </c>
      <c r="D80" s="25" t="s">
        <v>299</v>
      </c>
      <c r="E80" s="53">
        <v>4536000</v>
      </c>
      <c r="F80" s="28">
        <v>0.08</v>
      </c>
      <c r="G80" s="27" t="s">
        <v>22</v>
      </c>
      <c r="H80" s="35" t="s">
        <v>300</v>
      </c>
      <c r="I80" s="39" t="s">
        <v>328</v>
      </c>
      <c r="J80" s="4" t="s">
        <v>301</v>
      </c>
      <c r="K80" s="7">
        <v>8888.6085999999996</v>
      </c>
      <c r="L80" s="8" t="s">
        <v>327</v>
      </c>
    </row>
    <row r="81" spans="1:12" ht="22.5" customHeight="1">
      <c r="A81" s="2">
        <v>82</v>
      </c>
      <c r="B81" s="46" t="s">
        <v>290</v>
      </c>
      <c r="C81" s="4">
        <v>46035</v>
      </c>
      <c r="D81" s="7" t="s">
        <v>291</v>
      </c>
      <c r="E81" s="22">
        <v>73908000</v>
      </c>
      <c r="F81" s="5">
        <v>0.08</v>
      </c>
      <c r="G81" s="2" t="s">
        <v>22</v>
      </c>
      <c r="H81" s="46" t="s">
        <v>294</v>
      </c>
      <c r="I81" s="39" t="s">
        <v>295</v>
      </c>
      <c r="J81" s="4" t="s">
        <v>296</v>
      </c>
      <c r="K81" s="88" t="s">
        <v>297</v>
      </c>
      <c r="L81" s="92" t="s">
        <v>298</v>
      </c>
    </row>
    <row r="82" spans="1:12" ht="34.5" customHeight="1">
      <c r="A82" s="2">
        <v>83</v>
      </c>
      <c r="B82" s="7" t="s">
        <v>252</v>
      </c>
      <c r="C82" s="4">
        <v>46035</v>
      </c>
      <c r="D82" s="7" t="s">
        <v>258</v>
      </c>
      <c r="E82" s="22">
        <v>6000000</v>
      </c>
      <c r="F82" s="5">
        <v>0</v>
      </c>
      <c r="G82" s="2" t="s">
        <v>293</v>
      </c>
      <c r="H82" s="7" t="s">
        <v>302</v>
      </c>
      <c r="I82" s="39" t="s">
        <v>256</v>
      </c>
      <c r="J82" s="21" t="s">
        <v>257</v>
      </c>
      <c r="K82" s="88" t="s">
        <v>254</v>
      </c>
      <c r="L82" s="8" t="s">
        <v>255</v>
      </c>
    </row>
    <row r="83" spans="1:12" ht="33.75" customHeight="1">
      <c r="A83" s="2">
        <v>84</v>
      </c>
      <c r="B83" s="1" t="s">
        <v>303</v>
      </c>
      <c r="C83" s="4">
        <v>46035</v>
      </c>
      <c r="D83" s="7" t="s">
        <v>84</v>
      </c>
      <c r="E83" s="22">
        <v>3100000</v>
      </c>
      <c r="F83" s="5">
        <v>0.1</v>
      </c>
      <c r="G83" s="2" t="s">
        <v>22</v>
      </c>
      <c r="H83" s="1" t="s">
        <v>304</v>
      </c>
      <c r="I83" s="39" t="s">
        <v>96</v>
      </c>
      <c r="J83" s="21" t="s">
        <v>95</v>
      </c>
      <c r="K83" s="88" t="s">
        <v>97</v>
      </c>
      <c r="L83" s="8" t="s">
        <v>98</v>
      </c>
    </row>
    <row r="84" spans="1:12" ht="36" customHeight="1">
      <c r="A84" s="2">
        <v>85</v>
      </c>
      <c r="B84" s="7" t="s">
        <v>305</v>
      </c>
      <c r="C84" s="4">
        <v>46064</v>
      </c>
      <c r="D84" s="7" t="s">
        <v>267</v>
      </c>
      <c r="E84" s="22">
        <v>123377</v>
      </c>
      <c r="F84" s="5">
        <v>0.1</v>
      </c>
      <c r="G84" s="2" t="s">
        <v>292</v>
      </c>
      <c r="H84" s="7" t="s">
        <v>306</v>
      </c>
      <c r="I84" s="39" t="s">
        <v>270</v>
      </c>
      <c r="J84" s="21" t="s">
        <v>121</v>
      </c>
      <c r="K84" s="88" t="s">
        <v>61</v>
      </c>
      <c r="L84" s="8" t="s">
        <v>314</v>
      </c>
    </row>
    <row r="85" spans="1:12" ht="89.45" customHeight="1">
      <c r="A85" s="2">
        <v>86</v>
      </c>
      <c r="B85" s="1" t="s">
        <v>313</v>
      </c>
      <c r="C85" s="4">
        <v>46064</v>
      </c>
      <c r="D85" s="88" t="s">
        <v>307</v>
      </c>
      <c r="E85" s="22">
        <v>25981890</v>
      </c>
      <c r="F85" s="5">
        <v>0.1</v>
      </c>
      <c r="G85" s="2" t="s">
        <v>22</v>
      </c>
      <c r="H85" s="47" t="s">
        <v>308</v>
      </c>
      <c r="I85" s="1" t="s">
        <v>309</v>
      </c>
      <c r="J85" s="1" t="s">
        <v>310</v>
      </c>
      <c r="K85" s="88" t="s">
        <v>311</v>
      </c>
      <c r="L85" s="25" t="s">
        <v>312</v>
      </c>
    </row>
    <row r="86" spans="1:12" ht="22.5" customHeight="1">
      <c r="A86" s="2">
        <v>87</v>
      </c>
      <c r="B86" s="48" t="s">
        <v>315</v>
      </c>
      <c r="C86" s="11">
        <v>46076</v>
      </c>
      <c r="D86" s="93" t="s">
        <v>316</v>
      </c>
      <c r="E86" s="38">
        <v>26807000</v>
      </c>
      <c r="F86" s="12">
        <v>0.08</v>
      </c>
      <c r="G86" s="13" t="s">
        <v>22</v>
      </c>
      <c r="H86" s="48" t="s">
        <v>317</v>
      </c>
      <c r="I86" s="1" t="s">
        <v>318</v>
      </c>
      <c r="J86" s="1" t="s">
        <v>319</v>
      </c>
      <c r="K86" s="10">
        <v>1047723333</v>
      </c>
      <c r="L86" s="88" t="s">
        <v>320</v>
      </c>
    </row>
    <row r="87" spans="1:12" ht="30.75" customHeight="1">
      <c r="A87" s="2">
        <v>88</v>
      </c>
      <c r="B87" s="25" t="s">
        <v>305</v>
      </c>
      <c r="C87" s="26">
        <v>46064</v>
      </c>
      <c r="D87" s="25" t="s">
        <v>267</v>
      </c>
      <c r="E87" s="53">
        <v>246754</v>
      </c>
      <c r="F87" s="28">
        <v>0.1</v>
      </c>
      <c r="G87" s="27" t="s">
        <v>292</v>
      </c>
      <c r="H87" s="25" t="s">
        <v>321</v>
      </c>
      <c r="I87" s="39" t="s">
        <v>270</v>
      </c>
      <c r="J87" s="21" t="s">
        <v>121</v>
      </c>
      <c r="K87" s="88" t="s">
        <v>61</v>
      </c>
      <c r="L87" s="8" t="s">
        <v>314</v>
      </c>
    </row>
    <row r="88" spans="1:12" ht="49.5" customHeight="1">
      <c r="A88" s="2">
        <v>89</v>
      </c>
      <c r="B88" s="35" t="s">
        <v>324</v>
      </c>
      <c r="C88" s="26">
        <v>46064</v>
      </c>
      <c r="D88" s="25" t="s">
        <v>181</v>
      </c>
      <c r="E88" s="53">
        <v>24100000</v>
      </c>
      <c r="F88" s="28">
        <v>0.1</v>
      </c>
      <c r="G88" s="27" t="s">
        <v>22</v>
      </c>
      <c r="H88" s="35" t="s">
        <v>323</v>
      </c>
      <c r="I88" s="39" t="s">
        <v>322</v>
      </c>
      <c r="J88" s="21" t="s">
        <v>180</v>
      </c>
      <c r="K88" s="88" t="s">
        <v>325</v>
      </c>
      <c r="L88" s="8" t="s">
        <v>326</v>
      </c>
    </row>
    <row r="89" spans="1:12" ht="22.5" customHeight="1">
      <c r="A89" s="2">
        <v>90</v>
      </c>
      <c r="B89" s="48" t="s">
        <v>329</v>
      </c>
      <c r="C89" s="11">
        <v>46076</v>
      </c>
      <c r="D89" s="93" t="s">
        <v>337</v>
      </c>
      <c r="E89" s="38">
        <v>2196000</v>
      </c>
      <c r="F89" s="12">
        <v>0.08</v>
      </c>
      <c r="G89" s="13" t="s">
        <v>22</v>
      </c>
      <c r="H89" s="48" t="s">
        <v>330</v>
      </c>
      <c r="I89" s="1" t="s">
        <v>352</v>
      </c>
      <c r="J89" s="1" t="s">
        <v>331</v>
      </c>
      <c r="K89" s="88" t="s">
        <v>332</v>
      </c>
      <c r="L89" s="88" t="s">
        <v>333</v>
      </c>
    </row>
    <row r="90" spans="1:12" ht="22.5" customHeight="1">
      <c r="A90" s="2">
        <v>91</v>
      </c>
      <c r="B90" s="54" t="s">
        <v>334</v>
      </c>
      <c r="C90" s="26">
        <v>46064</v>
      </c>
      <c r="D90" s="94" t="s">
        <v>338</v>
      </c>
      <c r="E90" s="53">
        <v>20486000</v>
      </c>
      <c r="F90" s="28">
        <v>0.08</v>
      </c>
      <c r="G90" s="27" t="s">
        <v>22</v>
      </c>
      <c r="H90" s="54" t="s">
        <v>339</v>
      </c>
      <c r="I90" s="1" t="s">
        <v>335</v>
      </c>
      <c r="J90" s="1" t="s">
        <v>340</v>
      </c>
      <c r="K90" s="88" t="s">
        <v>336</v>
      </c>
      <c r="L90" s="88" t="s">
        <v>261</v>
      </c>
    </row>
    <row r="91" spans="1:12" ht="22.5" customHeight="1">
      <c r="A91" s="2">
        <v>92</v>
      </c>
      <c r="B91" s="48" t="s">
        <v>341</v>
      </c>
      <c r="C91" s="11">
        <v>46076</v>
      </c>
      <c r="D91" s="93" t="s">
        <v>342</v>
      </c>
      <c r="E91" s="38">
        <v>6666620</v>
      </c>
      <c r="F91" s="12">
        <v>0.1</v>
      </c>
      <c r="G91" s="13" t="s">
        <v>22</v>
      </c>
      <c r="H91" s="48" t="s">
        <v>343</v>
      </c>
      <c r="I91" s="49" t="s">
        <v>393</v>
      </c>
      <c r="J91" s="1"/>
      <c r="K91" s="88"/>
      <c r="L91" s="88"/>
    </row>
    <row r="92" spans="1:12" ht="22.5" customHeight="1">
      <c r="A92" s="2">
        <v>93</v>
      </c>
      <c r="B92" s="48" t="s">
        <v>397</v>
      </c>
      <c r="C92" s="11">
        <v>46076</v>
      </c>
      <c r="D92" s="93" t="s">
        <v>345</v>
      </c>
      <c r="E92" s="38">
        <v>10318000</v>
      </c>
      <c r="F92" s="12">
        <v>0.08</v>
      </c>
      <c r="G92" s="13" t="s">
        <v>22</v>
      </c>
      <c r="H92" s="48" t="s">
        <v>396</v>
      </c>
      <c r="I92" s="49" t="s">
        <v>392</v>
      </c>
      <c r="J92" s="1"/>
      <c r="K92" s="88"/>
      <c r="L92" s="88"/>
    </row>
    <row r="93" spans="1:12" ht="33.75" customHeight="1">
      <c r="A93" s="2">
        <v>94</v>
      </c>
      <c r="B93" s="25" t="s">
        <v>266</v>
      </c>
      <c r="C93" s="26">
        <v>46064</v>
      </c>
      <c r="D93" s="25" t="s">
        <v>267</v>
      </c>
      <c r="E93" s="53">
        <v>50921</v>
      </c>
      <c r="F93" s="28">
        <v>0.1</v>
      </c>
      <c r="G93" s="27" t="s">
        <v>292</v>
      </c>
      <c r="H93" s="7" t="s">
        <v>344</v>
      </c>
      <c r="I93" s="39" t="s">
        <v>270</v>
      </c>
      <c r="J93" s="21" t="s">
        <v>121</v>
      </c>
      <c r="K93" s="88" t="s">
        <v>61</v>
      </c>
      <c r="L93" s="8" t="s">
        <v>119</v>
      </c>
    </row>
    <row r="94" spans="1:12" ht="22.5" customHeight="1">
      <c r="A94" s="2">
        <v>95</v>
      </c>
      <c r="B94" s="54" t="s">
        <v>348</v>
      </c>
      <c r="C94" s="26">
        <v>46064</v>
      </c>
      <c r="D94" s="94" t="s">
        <v>347</v>
      </c>
      <c r="E94" s="53">
        <v>12744000</v>
      </c>
      <c r="F94" s="28">
        <v>0.08</v>
      </c>
      <c r="G94" s="27" t="s">
        <v>22</v>
      </c>
      <c r="H94" s="1" t="s">
        <v>351</v>
      </c>
      <c r="I94" s="50" t="s">
        <v>349</v>
      </c>
      <c r="J94" s="30" t="s">
        <v>346</v>
      </c>
      <c r="K94" s="88" t="s">
        <v>350</v>
      </c>
      <c r="L94" s="88" t="s">
        <v>298</v>
      </c>
    </row>
    <row r="95" spans="1:12" ht="31.5">
      <c r="A95" s="2">
        <v>96</v>
      </c>
      <c r="B95" s="69" t="s">
        <v>362</v>
      </c>
      <c r="C95" s="1" t="s">
        <v>423</v>
      </c>
      <c r="D95" s="88" t="s">
        <v>353</v>
      </c>
      <c r="E95" s="22">
        <v>720360000</v>
      </c>
      <c r="F95" s="5">
        <v>0.08</v>
      </c>
      <c r="G95" s="2" t="s">
        <v>22</v>
      </c>
      <c r="H95" s="47" t="s">
        <v>366</v>
      </c>
      <c r="I95" s="1" t="s">
        <v>365</v>
      </c>
      <c r="J95" s="1" t="s">
        <v>363</v>
      </c>
      <c r="K95" s="51" t="s">
        <v>364</v>
      </c>
      <c r="L95" s="88" t="s">
        <v>320</v>
      </c>
    </row>
    <row r="96" spans="1:12" ht="54.75" customHeight="1">
      <c r="A96" s="2">
        <v>97</v>
      </c>
      <c r="B96" s="70" t="s">
        <v>361</v>
      </c>
      <c r="C96" s="1" t="s">
        <v>423</v>
      </c>
      <c r="D96" s="88" t="s">
        <v>354</v>
      </c>
      <c r="E96" s="22">
        <v>80000000</v>
      </c>
      <c r="F96" s="5">
        <v>0.08</v>
      </c>
      <c r="G96" s="2" t="s">
        <v>22</v>
      </c>
      <c r="H96" s="47" t="s">
        <v>367</v>
      </c>
      <c r="I96" s="1" t="s">
        <v>368</v>
      </c>
      <c r="J96" s="1" t="s">
        <v>369</v>
      </c>
      <c r="K96" s="88" t="s">
        <v>370</v>
      </c>
      <c r="L96" s="88" t="s">
        <v>327</v>
      </c>
    </row>
    <row r="97" spans="1:12" ht="22.5" customHeight="1">
      <c r="A97" s="2">
        <v>98</v>
      </c>
      <c r="B97" s="69" t="s">
        <v>360</v>
      </c>
      <c r="C97" s="1" t="s">
        <v>423</v>
      </c>
      <c r="D97" s="88" t="s">
        <v>355</v>
      </c>
      <c r="E97" s="22">
        <v>2484000</v>
      </c>
      <c r="F97" s="5">
        <v>0.08</v>
      </c>
      <c r="G97" s="2" t="s">
        <v>22</v>
      </c>
      <c r="H97" s="1" t="s">
        <v>356</v>
      </c>
      <c r="I97" s="1" t="s">
        <v>357</v>
      </c>
      <c r="J97" s="1" t="s">
        <v>358</v>
      </c>
      <c r="K97" s="88" t="s">
        <v>359</v>
      </c>
      <c r="L97" s="88" t="s">
        <v>327</v>
      </c>
    </row>
    <row r="98" spans="1:12" ht="22.5" customHeight="1">
      <c r="A98" s="2">
        <v>99</v>
      </c>
      <c r="B98" s="71" t="s">
        <v>252</v>
      </c>
      <c r="C98" s="1" t="s">
        <v>423</v>
      </c>
      <c r="D98" s="7" t="s">
        <v>258</v>
      </c>
      <c r="E98" s="22">
        <v>8000000</v>
      </c>
      <c r="F98" s="5">
        <v>0</v>
      </c>
      <c r="G98" s="2" t="s">
        <v>293</v>
      </c>
      <c r="H98" s="7" t="s">
        <v>302</v>
      </c>
      <c r="I98" s="39" t="s">
        <v>256</v>
      </c>
      <c r="J98" s="21" t="s">
        <v>257</v>
      </c>
      <c r="K98" s="88" t="s">
        <v>254</v>
      </c>
      <c r="L98" s="8" t="s">
        <v>255</v>
      </c>
    </row>
    <row r="99" spans="1:12" ht="22.5" customHeight="1">
      <c r="A99" s="2">
        <v>100</v>
      </c>
      <c r="B99" s="69" t="s">
        <v>376</v>
      </c>
      <c r="C99" s="26">
        <v>46097</v>
      </c>
      <c r="D99" s="94" t="s">
        <v>375</v>
      </c>
      <c r="E99" s="53">
        <v>629208</v>
      </c>
      <c r="F99" s="5">
        <v>0.08</v>
      </c>
      <c r="G99" s="2" t="s">
        <v>22</v>
      </c>
      <c r="H99" s="1" t="s">
        <v>374</v>
      </c>
      <c r="I99" s="1" t="s">
        <v>372</v>
      </c>
      <c r="J99" s="1" t="s">
        <v>371</v>
      </c>
      <c r="K99" s="88" t="s">
        <v>373</v>
      </c>
      <c r="L99" s="88" t="s">
        <v>56</v>
      </c>
    </row>
    <row r="100" spans="1:12" ht="31.5">
      <c r="A100" s="2">
        <v>101</v>
      </c>
      <c r="B100" s="71" t="s">
        <v>305</v>
      </c>
      <c r="C100" s="4">
        <v>46097</v>
      </c>
      <c r="D100" s="7" t="s">
        <v>267</v>
      </c>
      <c r="E100" s="22">
        <v>123377</v>
      </c>
      <c r="F100" s="5">
        <v>0.1</v>
      </c>
      <c r="G100" s="2" t="s">
        <v>292</v>
      </c>
      <c r="H100" s="7" t="s">
        <v>377</v>
      </c>
      <c r="I100" s="39" t="s">
        <v>270</v>
      </c>
      <c r="J100" s="21" t="s">
        <v>121</v>
      </c>
      <c r="K100" s="88" t="s">
        <v>61</v>
      </c>
      <c r="L100" s="8" t="s">
        <v>314</v>
      </c>
    </row>
    <row r="101" spans="1:12">
      <c r="A101" s="2">
        <v>102</v>
      </c>
      <c r="B101" s="69" t="s">
        <v>379</v>
      </c>
      <c r="C101" s="4">
        <v>46097</v>
      </c>
      <c r="D101" s="88" t="s">
        <v>378</v>
      </c>
      <c r="E101" s="22">
        <v>356400</v>
      </c>
      <c r="F101" s="49" t="s">
        <v>380</v>
      </c>
      <c r="G101" s="2" t="s">
        <v>292</v>
      </c>
      <c r="H101" s="1" t="s">
        <v>381</v>
      </c>
      <c r="I101" s="1" t="s">
        <v>382</v>
      </c>
      <c r="J101" s="1" t="s">
        <v>383</v>
      </c>
      <c r="K101" s="88" t="s">
        <v>384</v>
      </c>
      <c r="L101" s="88"/>
    </row>
    <row r="102" spans="1:12">
      <c r="A102" s="2">
        <v>103</v>
      </c>
      <c r="B102" s="48" t="s">
        <v>400</v>
      </c>
      <c r="C102" s="11">
        <v>46098</v>
      </c>
      <c r="D102" s="93" t="s">
        <v>385</v>
      </c>
      <c r="E102" s="38">
        <f>61527140-E91-E92</f>
        <v>44542520</v>
      </c>
      <c r="F102" s="55" t="s">
        <v>380</v>
      </c>
      <c r="G102" s="13" t="s">
        <v>22</v>
      </c>
      <c r="H102" s="48" t="s">
        <v>398</v>
      </c>
      <c r="I102" s="49" t="s">
        <v>399</v>
      </c>
      <c r="J102" s="1"/>
      <c r="K102" s="88"/>
      <c r="L102" s="88"/>
    </row>
    <row r="103" spans="1:12" ht="31.5">
      <c r="A103" s="2">
        <v>104</v>
      </c>
      <c r="B103" s="48" t="s">
        <v>390</v>
      </c>
      <c r="C103" s="11">
        <v>46098</v>
      </c>
      <c r="D103" s="93" t="s">
        <v>459</v>
      </c>
      <c r="E103" s="38">
        <v>8893606</v>
      </c>
      <c r="F103" s="55" t="s">
        <v>387</v>
      </c>
      <c r="G103" s="13" t="s">
        <v>22</v>
      </c>
      <c r="H103" s="56" t="s">
        <v>389</v>
      </c>
      <c r="I103" s="49" t="s">
        <v>392</v>
      </c>
      <c r="J103" s="1"/>
      <c r="K103" s="88"/>
      <c r="L103" s="88"/>
    </row>
    <row r="104" spans="1:12">
      <c r="A104" s="2">
        <v>105</v>
      </c>
      <c r="B104" s="48" t="s">
        <v>402</v>
      </c>
      <c r="C104" s="48" t="s">
        <v>401</v>
      </c>
      <c r="D104" s="93" t="s">
        <v>395</v>
      </c>
      <c r="E104" s="38">
        <v>450000</v>
      </c>
      <c r="F104" s="55" t="s">
        <v>387</v>
      </c>
      <c r="G104" s="55" t="s">
        <v>22</v>
      </c>
      <c r="H104" s="48" t="s">
        <v>403</v>
      </c>
      <c r="I104" s="49" t="s">
        <v>393</v>
      </c>
      <c r="J104" s="1"/>
      <c r="K104" s="88"/>
      <c r="L104" s="88"/>
    </row>
    <row r="105" spans="1:12">
      <c r="A105" s="2">
        <v>106</v>
      </c>
      <c r="B105" s="48" t="s">
        <v>404</v>
      </c>
      <c r="C105" s="48" t="s">
        <v>401</v>
      </c>
      <c r="D105" s="93" t="s">
        <v>395</v>
      </c>
      <c r="E105" s="38">
        <v>180000</v>
      </c>
      <c r="F105" s="55" t="s">
        <v>387</v>
      </c>
      <c r="G105" s="55" t="s">
        <v>22</v>
      </c>
      <c r="H105" s="48" t="s">
        <v>405</v>
      </c>
      <c r="I105" s="49" t="s">
        <v>393</v>
      </c>
      <c r="J105" s="1"/>
      <c r="K105" s="88"/>
      <c r="L105" s="88"/>
    </row>
    <row r="106" spans="1:12">
      <c r="A106" s="2">
        <v>107</v>
      </c>
      <c r="B106" s="48" t="s">
        <v>406</v>
      </c>
      <c r="C106" s="48" t="s">
        <v>401</v>
      </c>
      <c r="D106" s="93" t="s">
        <v>395</v>
      </c>
      <c r="E106" s="38">
        <f>62000+140000</f>
        <v>202000</v>
      </c>
      <c r="F106" s="55" t="s">
        <v>387</v>
      </c>
      <c r="G106" s="55" t="s">
        <v>22</v>
      </c>
      <c r="H106" s="48" t="s">
        <v>407</v>
      </c>
      <c r="I106" s="49" t="s">
        <v>393</v>
      </c>
      <c r="J106" s="1"/>
      <c r="K106" s="88"/>
      <c r="L106" s="88"/>
    </row>
    <row r="107" spans="1:12">
      <c r="A107" s="2">
        <v>108</v>
      </c>
      <c r="B107" s="25" t="s">
        <v>409</v>
      </c>
      <c r="C107" s="26">
        <v>46083</v>
      </c>
      <c r="D107" s="25" t="s">
        <v>410</v>
      </c>
      <c r="E107" s="61">
        <v>85660</v>
      </c>
      <c r="F107" s="62" t="s">
        <v>387</v>
      </c>
      <c r="G107" s="62" t="s">
        <v>22</v>
      </c>
      <c r="H107" s="25" t="s">
        <v>414</v>
      </c>
      <c r="I107" s="24" t="s">
        <v>420</v>
      </c>
      <c r="J107" s="7" t="s">
        <v>421</v>
      </c>
      <c r="K107" s="7">
        <v>25087113666</v>
      </c>
      <c r="L107" s="7" t="s">
        <v>422</v>
      </c>
    </row>
    <row r="108" spans="1:12">
      <c r="A108" s="2">
        <v>109</v>
      </c>
      <c r="B108" s="71" t="s">
        <v>408</v>
      </c>
      <c r="C108" s="4">
        <v>46097</v>
      </c>
      <c r="D108" s="7" t="s">
        <v>411</v>
      </c>
      <c r="E108" s="72">
        <v>122510</v>
      </c>
      <c r="F108" s="49" t="s">
        <v>387</v>
      </c>
      <c r="G108" s="49" t="s">
        <v>22</v>
      </c>
      <c r="H108" s="7" t="s">
        <v>413</v>
      </c>
      <c r="I108" s="24" t="s">
        <v>412</v>
      </c>
      <c r="J108" s="7"/>
      <c r="K108" s="7"/>
      <c r="L108" s="7"/>
    </row>
    <row r="109" spans="1:12" ht="31.5">
      <c r="A109" s="2">
        <v>110</v>
      </c>
      <c r="B109" s="7" t="s">
        <v>266</v>
      </c>
      <c r="C109" s="4">
        <v>46097</v>
      </c>
      <c r="D109" s="7" t="s">
        <v>267</v>
      </c>
      <c r="E109" s="60" t="s">
        <v>424</v>
      </c>
      <c r="F109" s="5">
        <v>0.1</v>
      </c>
      <c r="G109" s="2" t="s">
        <v>292</v>
      </c>
      <c r="H109" s="7" t="s">
        <v>344</v>
      </c>
      <c r="I109" s="30" t="s">
        <v>270</v>
      </c>
      <c r="J109" s="24" t="s">
        <v>425</v>
      </c>
      <c r="K109" s="7">
        <v>10160500</v>
      </c>
      <c r="L109" s="7" t="s">
        <v>314</v>
      </c>
    </row>
    <row r="110" spans="1:12" ht="17.25">
      <c r="A110" s="2">
        <v>111</v>
      </c>
      <c r="B110" s="7" t="s">
        <v>426</v>
      </c>
      <c r="C110" s="4">
        <v>46100</v>
      </c>
      <c r="D110" s="7" t="s">
        <v>457</v>
      </c>
      <c r="E110" s="78">
        <v>15648000</v>
      </c>
      <c r="F110" s="2"/>
      <c r="G110" s="2" t="s">
        <v>292</v>
      </c>
      <c r="H110" s="77" t="s">
        <v>458</v>
      </c>
      <c r="I110" s="79" t="s">
        <v>203</v>
      </c>
      <c r="J110" s="77" t="s">
        <v>457</v>
      </c>
      <c r="K110" s="7">
        <v>4339804037</v>
      </c>
      <c r="L110" s="7" t="s">
        <v>158</v>
      </c>
    </row>
    <row r="111" spans="1:12" s="46" customFormat="1" ht="17.25">
      <c r="A111" s="77">
        <v>112</v>
      </c>
      <c r="B111" s="77" t="s">
        <v>427</v>
      </c>
      <c r="C111" s="81">
        <v>46097</v>
      </c>
      <c r="D111" s="7" t="s">
        <v>428</v>
      </c>
      <c r="E111" s="78">
        <v>864000</v>
      </c>
      <c r="F111" s="49" t="s">
        <v>380</v>
      </c>
      <c r="G111" s="2" t="s">
        <v>22</v>
      </c>
      <c r="H111" s="77" t="s">
        <v>427</v>
      </c>
      <c r="I111" s="79" t="s">
        <v>203</v>
      </c>
      <c r="J111" s="77" t="s">
        <v>430</v>
      </c>
      <c r="K111" s="7"/>
      <c r="L111" s="7" t="s">
        <v>158</v>
      </c>
    </row>
    <row r="112" spans="1:12" s="46" customFormat="1">
      <c r="A112" s="2">
        <v>113</v>
      </c>
      <c r="B112" s="82" t="s">
        <v>431</v>
      </c>
      <c r="C112" s="83">
        <v>46108</v>
      </c>
      <c r="D112" s="18" t="s">
        <v>432</v>
      </c>
      <c r="E112" s="84">
        <v>14904000</v>
      </c>
      <c r="F112" s="55" t="s">
        <v>380</v>
      </c>
      <c r="G112" s="13" t="s">
        <v>22</v>
      </c>
      <c r="H112" s="82" t="s">
        <v>433</v>
      </c>
      <c r="I112" s="79" t="s">
        <v>434</v>
      </c>
      <c r="J112" s="77" t="s">
        <v>435</v>
      </c>
      <c r="K112" s="7">
        <v>284649257</v>
      </c>
      <c r="L112" s="7" t="s">
        <v>436</v>
      </c>
    </row>
    <row r="113" spans="1:12" s="46" customFormat="1">
      <c r="A113" s="2">
        <v>114</v>
      </c>
      <c r="B113" s="82" t="s">
        <v>437</v>
      </c>
      <c r="C113" s="83">
        <v>46108</v>
      </c>
      <c r="D113" s="18" t="s">
        <v>438</v>
      </c>
      <c r="E113" s="84">
        <v>1004400</v>
      </c>
      <c r="F113" s="55" t="s">
        <v>380</v>
      </c>
      <c r="G113" s="13" t="s">
        <v>22</v>
      </c>
      <c r="H113" s="82" t="s">
        <v>439</v>
      </c>
      <c r="I113" s="79" t="s">
        <v>440</v>
      </c>
      <c r="J113" s="77" t="s">
        <v>441</v>
      </c>
      <c r="K113" s="7">
        <v>1027076435</v>
      </c>
      <c r="L113" s="7" t="s">
        <v>442</v>
      </c>
    </row>
    <row r="114" spans="1:12" s="46" customFormat="1">
      <c r="A114" s="2">
        <v>115</v>
      </c>
      <c r="B114" s="82" t="s">
        <v>443</v>
      </c>
      <c r="C114" s="83">
        <v>46108</v>
      </c>
      <c r="D114" s="18" t="s">
        <v>444</v>
      </c>
      <c r="E114" s="84">
        <v>1728000</v>
      </c>
      <c r="F114" s="55" t="s">
        <v>380</v>
      </c>
      <c r="G114" s="13" t="s">
        <v>22</v>
      </c>
      <c r="H114" s="82" t="s">
        <v>445</v>
      </c>
      <c r="I114" s="80" t="s">
        <v>256</v>
      </c>
      <c r="J114" s="77" t="s">
        <v>444</v>
      </c>
      <c r="K114" s="89">
        <v>110636118686</v>
      </c>
      <c r="L114" s="7" t="s">
        <v>446</v>
      </c>
    </row>
    <row r="115" spans="1:12" s="46" customFormat="1" ht="31.5">
      <c r="A115" s="2">
        <v>116</v>
      </c>
      <c r="B115" s="82" t="s">
        <v>448</v>
      </c>
      <c r="C115" s="83">
        <v>46108</v>
      </c>
      <c r="D115" s="18" t="s">
        <v>267</v>
      </c>
      <c r="E115" s="84">
        <v>748999680</v>
      </c>
      <c r="F115" s="12">
        <v>0.1</v>
      </c>
      <c r="G115" s="13" t="s">
        <v>449</v>
      </c>
      <c r="H115" s="82" t="s">
        <v>448</v>
      </c>
      <c r="I115" s="80" t="s">
        <v>270</v>
      </c>
      <c r="J115" s="80" t="s">
        <v>121</v>
      </c>
      <c r="K115" s="88" t="s">
        <v>61</v>
      </c>
      <c r="L115" s="8" t="s">
        <v>314</v>
      </c>
    </row>
    <row r="116" spans="1:12" s="46" customFormat="1" ht="17.25">
      <c r="A116" s="2">
        <v>117</v>
      </c>
      <c r="B116" s="82" t="s">
        <v>450</v>
      </c>
      <c r="C116" s="83">
        <v>46108</v>
      </c>
      <c r="D116" s="18" t="s">
        <v>451</v>
      </c>
      <c r="E116" s="84">
        <v>1528200</v>
      </c>
      <c r="F116" s="55" t="s">
        <v>380</v>
      </c>
      <c r="G116" s="13" t="s">
        <v>22</v>
      </c>
      <c r="H116" s="82" t="s">
        <v>452</v>
      </c>
      <c r="I116" s="79" t="s">
        <v>203</v>
      </c>
      <c r="J116" s="77" t="s">
        <v>451</v>
      </c>
      <c r="K116" s="7">
        <v>8670024604</v>
      </c>
      <c r="L116" s="7" t="s">
        <v>158</v>
      </c>
    </row>
    <row r="117" spans="1:12" s="46" customFormat="1">
      <c r="A117" s="2">
        <v>118</v>
      </c>
      <c r="B117" s="82" t="s">
        <v>453</v>
      </c>
      <c r="C117" s="83">
        <v>46108</v>
      </c>
      <c r="D117" s="18" t="s">
        <v>454</v>
      </c>
      <c r="E117" s="84">
        <v>5000243</v>
      </c>
      <c r="F117" s="12">
        <v>0.1</v>
      </c>
      <c r="G117" s="13" t="s">
        <v>22</v>
      </c>
      <c r="H117" s="82" t="s">
        <v>453</v>
      </c>
      <c r="I117" s="79" t="s">
        <v>455</v>
      </c>
      <c r="J117" s="77" t="s">
        <v>454</v>
      </c>
      <c r="K117" s="7">
        <v>688868999</v>
      </c>
      <c r="L117" s="7" t="s">
        <v>456</v>
      </c>
    </row>
    <row r="118" spans="1:12" s="46" customFormat="1" ht="61.5">
      <c r="A118" s="2">
        <v>119</v>
      </c>
      <c r="B118" s="82" t="s">
        <v>462</v>
      </c>
      <c r="C118" s="83"/>
      <c r="D118" s="18" t="s">
        <v>81</v>
      </c>
      <c r="E118" s="84">
        <f>105413000*95%</f>
        <v>100142350</v>
      </c>
      <c r="F118" s="12">
        <v>0.1</v>
      </c>
      <c r="G118" s="13" t="s">
        <v>22</v>
      </c>
      <c r="H118" s="37" t="s">
        <v>464</v>
      </c>
      <c r="I118" s="39" t="s">
        <v>59</v>
      </c>
      <c r="J118" s="68" t="s">
        <v>57</v>
      </c>
      <c r="K118" s="88" t="s">
        <v>58</v>
      </c>
      <c r="L118" s="8" t="s">
        <v>56</v>
      </c>
    </row>
    <row r="119" spans="1:12" s="46" customFormat="1" ht="36.75" customHeight="1">
      <c r="A119" s="2">
        <v>120</v>
      </c>
      <c r="B119" s="82" t="s">
        <v>460</v>
      </c>
      <c r="C119" s="83" t="s">
        <v>99</v>
      </c>
      <c r="D119" s="18" t="s">
        <v>81</v>
      </c>
      <c r="E119" s="84">
        <v>315418125</v>
      </c>
      <c r="F119" s="12">
        <v>0.1</v>
      </c>
      <c r="G119" s="13" t="s">
        <v>22</v>
      </c>
      <c r="H119" s="37" t="s">
        <v>461</v>
      </c>
      <c r="I119" s="39" t="s">
        <v>59</v>
      </c>
      <c r="J119" s="68" t="s">
        <v>57</v>
      </c>
      <c r="K119" s="88" t="s">
        <v>58</v>
      </c>
      <c r="L119" s="8" t="s">
        <v>56</v>
      </c>
    </row>
    <row r="120" spans="1:12" s="103" customFormat="1" ht="18.75">
      <c r="A120" s="104">
        <v>121</v>
      </c>
      <c r="B120" s="7" t="s">
        <v>466</v>
      </c>
      <c r="C120" s="4">
        <v>46108</v>
      </c>
      <c r="D120" s="7" t="s">
        <v>467</v>
      </c>
      <c r="E120" s="105">
        <v>31783320</v>
      </c>
      <c r="F120" s="5">
        <v>0.08</v>
      </c>
      <c r="G120" s="2" t="s">
        <v>22</v>
      </c>
      <c r="H120" s="7" t="s">
        <v>466</v>
      </c>
      <c r="I120" s="30" t="s">
        <v>468</v>
      </c>
      <c r="J120" s="7" t="s">
        <v>469</v>
      </c>
      <c r="K120" s="106">
        <v>8688866889</v>
      </c>
      <c r="L120" s="7" t="s">
        <v>470</v>
      </c>
    </row>
    <row r="121" spans="1:12" s="103" customFormat="1">
      <c r="A121" s="2"/>
      <c r="B121" s="7"/>
      <c r="C121" s="4"/>
      <c r="D121" s="7"/>
      <c r="E121" s="60"/>
      <c r="F121" s="2"/>
      <c r="G121" s="2"/>
      <c r="H121" s="7"/>
      <c r="I121" s="30"/>
      <c r="J121" s="7"/>
      <c r="K121" s="7"/>
      <c r="L121" s="7"/>
    </row>
    <row r="122" spans="1:12">
      <c r="A122" s="2"/>
      <c r="B122" s="7"/>
      <c r="C122" s="4"/>
      <c r="D122" s="7"/>
      <c r="E122" s="60"/>
      <c r="F122" s="2"/>
      <c r="G122" s="2"/>
      <c r="H122" s="7"/>
      <c r="I122" s="30"/>
      <c r="J122" s="7"/>
      <c r="K122" s="7"/>
      <c r="L122" s="7"/>
    </row>
    <row r="123" spans="1:12">
      <c r="A123" s="2"/>
      <c r="B123" s="7"/>
      <c r="C123" s="4"/>
      <c r="D123" s="7"/>
      <c r="E123" s="60"/>
      <c r="F123" s="2"/>
      <c r="G123" s="2"/>
      <c r="H123" s="7"/>
      <c r="I123" s="30"/>
      <c r="J123" s="7"/>
      <c r="K123" s="7"/>
      <c r="L123" s="7"/>
    </row>
    <row r="124" spans="1:12">
      <c r="A124" s="2"/>
      <c r="B124" s="7"/>
      <c r="C124" s="4"/>
      <c r="D124" s="7"/>
      <c r="E124" s="60"/>
      <c r="F124" s="2"/>
      <c r="G124" s="2"/>
      <c r="H124" s="7"/>
      <c r="I124" s="30"/>
      <c r="J124" s="7"/>
      <c r="K124" s="7"/>
      <c r="L124" s="7"/>
    </row>
  </sheetData>
  <autoFilter ref="A1:L119" xr:uid="{D1AE60B0-7DF0-4D76-AF24-31E12CC38BEA}"/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C85F-6039-4517-AAEF-F6228A92BF3B}">
  <sheetPr codeName="Sheet4"/>
  <dimension ref="A1:I38"/>
  <sheetViews>
    <sheetView topLeftCell="A16" workbookViewId="0">
      <selection sqref="A1:H6"/>
    </sheetView>
  </sheetViews>
  <sheetFormatPr defaultRowHeight="15.75"/>
  <cols>
    <col min="1" max="1" width="6.125" style="75" customWidth="1"/>
    <col min="2" max="2" width="33.75" customWidth="1"/>
    <col min="3" max="3" width="16.25" style="75" customWidth="1"/>
    <col min="4" max="4" width="28.375" style="76" customWidth="1"/>
    <col min="5" max="7" width="19.375" customWidth="1"/>
    <col min="8" max="8" width="59.625" customWidth="1"/>
    <col min="9" max="9" width="18.75" bestFit="1" customWidth="1"/>
  </cols>
  <sheetData>
    <row r="1" spans="1:8">
      <c r="A1" s="2" t="s">
        <v>14</v>
      </c>
      <c r="B1" s="2" t="s">
        <v>15</v>
      </c>
      <c r="C1" s="4" t="s">
        <v>13</v>
      </c>
      <c r="D1" s="2" t="s">
        <v>283</v>
      </c>
      <c r="E1" s="2" t="s">
        <v>24</v>
      </c>
      <c r="F1" s="2" t="s">
        <v>25</v>
      </c>
      <c r="G1" s="2" t="s">
        <v>19</v>
      </c>
      <c r="H1" s="2" t="s">
        <v>187</v>
      </c>
    </row>
    <row r="2" spans="1:8">
      <c r="A2" s="17">
        <v>41</v>
      </c>
      <c r="B2" s="97" t="s">
        <v>80</v>
      </c>
      <c r="C2" s="98">
        <v>45972</v>
      </c>
      <c r="D2" s="99" t="s">
        <v>81</v>
      </c>
      <c r="E2" s="100">
        <v>0</v>
      </c>
      <c r="F2" s="101">
        <v>0.1</v>
      </c>
      <c r="G2" s="102" t="s">
        <v>22</v>
      </c>
      <c r="H2" s="36" t="s">
        <v>463</v>
      </c>
    </row>
    <row r="3" spans="1:8">
      <c r="A3" s="17">
        <v>42</v>
      </c>
      <c r="B3" s="18" t="s">
        <v>82</v>
      </c>
      <c r="C3" s="11">
        <v>45965</v>
      </c>
      <c r="D3" s="18" t="s">
        <v>83</v>
      </c>
      <c r="E3" s="20">
        <v>4852000</v>
      </c>
      <c r="F3" s="12">
        <v>0.1</v>
      </c>
      <c r="G3" s="13" t="s">
        <v>22</v>
      </c>
      <c r="H3" s="18"/>
    </row>
    <row r="4" spans="1:8">
      <c r="A4" s="17">
        <v>45</v>
      </c>
      <c r="B4" s="18" t="s">
        <v>68</v>
      </c>
      <c r="C4" s="11">
        <v>45965</v>
      </c>
      <c r="D4" s="18" t="s">
        <v>83</v>
      </c>
      <c r="E4" s="20">
        <v>2160000</v>
      </c>
      <c r="F4" s="12">
        <v>0.08</v>
      </c>
      <c r="G4" s="13" t="s">
        <v>22</v>
      </c>
      <c r="H4" s="18" t="s">
        <v>85</v>
      </c>
    </row>
    <row r="5" spans="1:8" ht="31.5">
      <c r="A5" s="17">
        <v>50</v>
      </c>
      <c r="B5" s="18" t="s">
        <v>163</v>
      </c>
      <c r="C5" s="11">
        <v>45986</v>
      </c>
      <c r="D5" s="37" t="s">
        <v>235</v>
      </c>
      <c r="E5" s="20">
        <v>3894000</v>
      </c>
      <c r="F5" s="12">
        <v>0.08</v>
      </c>
      <c r="G5" s="13" t="s">
        <v>22</v>
      </c>
      <c r="H5" s="18" t="s">
        <v>164</v>
      </c>
    </row>
    <row r="6" spans="1:8" ht="31.5">
      <c r="A6" s="2">
        <v>68</v>
      </c>
      <c r="B6" s="37" t="s">
        <v>386</v>
      </c>
      <c r="C6" s="11">
        <v>46022</v>
      </c>
      <c r="D6" s="18" t="s">
        <v>240</v>
      </c>
      <c r="E6" s="38">
        <v>14200000</v>
      </c>
      <c r="F6" s="12">
        <v>0.1</v>
      </c>
      <c r="G6" s="13" t="s">
        <v>22</v>
      </c>
      <c r="H6" s="37" t="s">
        <v>394</v>
      </c>
    </row>
    <row r="7" spans="1:8">
      <c r="A7" s="2">
        <v>71</v>
      </c>
      <c r="B7" s="18" t="s">
        <v>259</v>
      </c>
      <c r="C7" s="11">
        <v>46035</v>
      </c>
      <c r="D7" s="18" t="s">
        <v>260</v>
      </c>
      <c r="E7" s="38">
        <v>2535000</v>
      </c>
      <c r="F7" s="12">
        <v>0.08</v>
      </c>
      <c r="G7" s="13" t="s">
        <v>22</v>
      </c>
      <c r="H7" s="18" t="s">
        <v>262</v>
      </c>
    </row>
    <row r="8" spans="1:8" ht="94.5">
      <c r="A8" s="2">
        <v>73</v>
      </c>
      <c r="B8" s="18" t="s">
        <v>263</v>
      </c>
      <c r="C8" s="11">
        <v>46035</v>
      </c>
      <c r="D8" s="18" t="s">
        <v>264</v>
      </c>
      <c r="E8" s="38">
        <v>1615075</v>
      </c>
      <c r="F8" s="12">
        <v>0.08</v>
      </c>
      <c r="G8" s="13" t="s">
        <v>22</v>
      </c>
      <c r="H8" s="37" t="s">
        <v>265</v>
      </c>
    </row>
    <row r="9" spans="1:8">
      <c r="A9" s="2">
        <v>76</v>
      </c>
      <c r="B9" s="18" t="s">
        <v>269</v>
      </c>
      <c r="C9" s="11">
        <v>46035</v>
      </c>
      <c r="D9" s="18" t="s">
        <v>271</v>
      </c>
      <c r="E9" s="38">
        <v>3355000</v>
      </c>
      <c r="F9" s="12">
        <v>0.1</v>
      </c>
      <c r="G9" s="13" t="s">
        <v>22</v>
      </c>
      <c r="H9" s="18" t="s">
        <v>272</v>
      </c>
    </row>
    <row r="10" spans="1:8" ht="220.5">
      <c r="A10" s="2">
        <v>77</v>
      </c>
      <c r="B10" s="18" t="s">
        <v>273</v>
      </c>
      <c r="C10" s="11">
        <v>46035</v>
      </c>
      <c r="D10" s="18" t="s">
        <v>395</v>
      </c>
      <c r="E10" s="38">
        <v>10217000</v>
      </c>
      <c r="F10" s="12">
        <v>0</v>
      </c>
      <c r="G10" s="13" t="s">
        <v>22</v>
      </c>
      <c r="H10" s="44" t="s">
        <v>274</v>
      </c>
    </row>
    <row r="11" spans="1:8">
      <c r="A11" s="2">
        <v>80</v>
      </c>
      <c r="B11" s="18" t="s">
        <v>286</v>
      </c>
      <c r="C11" s="11">
        <v>46035</v>
      </c>
      <c r="D11" s="18" t="s">
        <v>285</v>
      </c>
      <c r="E11" s="38">
        <v>4400000</v>
      </c>
      <c r="F11" s="12">
        <v>0.1</v>
      </c>
      <c r="G11" s="13" t="s">
        <v>22</v>
      </c>
      <c r="H11" s="18" t="s">
        <v>287</v>
      </c>
    </row>
    <row r="12" spans="1:8">
      <c r="A12" s="2">
        <v>87</v>
      </c>
      <c r="B12" s="48" t="s">
        <v>315</v>
      </c>
      <c r="C12" s="11">
        <v>46076</v>
      </c>
      <c r="D12" s="93" t="s">
        <v>316</v>
      </c>
      <c r="E12" s="38">
        <v>26807000</v>
      </c>
      <c r="F12" s="12">
        <v>0.08</v>
      </c>
      <c r="G12" s="13" t="s">
        <v>22</v>
      </c>
      <c r="H12" s="48" t="s">
        <v>317</v>
      </c>
    </row>
    <row r="13" spans="1:8">
      <c r="A13" s="2">
        <v>90</v>
      </c>
      <c r="B13" s="48" t="s">
        <v>329</v>
      </c>
      <c r="C13" s="11">
        <v>46076</v>
      </c>
      <c r="D13" s="93" t="s">
        <v>337</v>
      </c>
      <c r="E13" s="38">
        <v>2196000</v>
      </c>
      <c r="F13" s="12">
        <v>0.08</v>
      </c>
      <c r="G13" s="13" t="s">
        <v>22</v>
      </c>
      <c r="H13" s="48" t="s">
        <v>330</v>
      </c>
    </row>
    <row r="14" spans="1:8">
      <c r="A14" s="2">
        <v>92</v>
      </c>
      <c r="B14" s="48" t="s">
        <v>341</v>
      </c>
      <c r="C14" s="11">
        <v>46076</v>
      </c>
      <c r="D14" s="93" t="s">
        <v>342</v>
      </c>
      <c r="E14" s="38">
        <v>6666620</v>
      </c>
      <c r="F14" s="12">
        <v>0.1</v>
      </c>
      <c r="G14" s="13" t="s">
        <v>22</v>
      </c>
      <c r="H14" s="48" t="s">
        <v>343</v>
      </c>
    </row>
    <row r="15" spans="1:8">
      <c r="A15" s="2">
        <v>93</v>
      </c>
      <c r="B15" s="48" t="s">
        <v>397</v>
      </c>
      <c r="C15" s="11">
        <v>46076</v>
      </c>
      <c r="D15" s="93" t="s">
        <v>345</v>
      </c>
      <c r="E15" s="38">
        <v>10318000</v>
      </c>
      <c r="F15" s="12">
        <v>0.08</v>
      </c>
      <c r="G15" s="13" t="s">
        <v>22</v>
      </c>
      <c r="H15" s="48" t="s">
        <v>396</v>
      </c>
    </row>
    <row r="16" spans="1:8">
      <c r="A16" s="2">
        <v>103</v>
      </c>
      <c r="B16" s="48" t="s">
        <v>400</v>
      </c>
      <c r="C16" s="11">
        <v>46098</v>
      </c>
      <c r="D16" s="93" t="s">
        <v>385</v>
      </c>
      <c r="E16" s="38">
        <v>44542520</v>
      </c>
      <c r="F16" s="55" t="s">
        <v>380</v>
      </c>
      <c r="G16" s="13" t="s">
        <v>22</v>
      </c>
      <c r="H16" s="48" t="s">
        <v>398</v>
      </c>
    </row>
    <row r="17" spans="1:8" ht="31.5">
      <c r="A17" s="2">
        <v>104</v>
      </c>
      <c r="B17" s="48" t="s">
        <v>390</v>
      </c>
      <c r="C17" s="11">
        <v>46098</v>
      </c>
      <c r="D17" s="93" t="s">
        <v>388</v>
      </c>
      <c r="E17" s="38">
        <v>8893606</v>
      </c>
      <c r="F17" s="55" t="s">
        <v>387</v>
      </c>
      <c r="G17" s="13" t="s">
        <v>22</v>
      </c>
      <c r="H17" s="56" t="s">
        <v>389</v>
      </c>
    </row>
    <row r="18" spans="1:8">
      <c r="A18" s="2">
        <v>105</v>
      </c>
      <c r="B18" s="48" t="s">
        <v>402</v>
      </c>
      <c r="C18" s="55" t="s">
        <v>401</v>
      </c>
      <c r="D18" s="93" t="s">
        <v>395</v>
      </c>
      <c r="E18" s="38">
        <v>450000</v>
      </c>
      <c r="F18" s="55" t="s">
        <v>387</v>
      </c>
      <c r="G18" s="55" t="s">
        <v>22</v>
      </c>
      <c r="H18" s="48" t="s">
        <v>403</v>
      </c>
    </row>
    <row r="19" spans="1:8">
      <c r="A19" s="2">
        <v>106</v>
      </c>
      <c r="B19" s="48" t="s">
        <v>404</v>
      </c>
      <c r="C19" s="55" t="s">
        <v>401</v>
      </c>
      <c r="D19" s="93" t="s">
        <v>395</v>
      </c>
      <c r="E19" s="38">
        <v>180000</v>
      </c>
      <c r="F19" s="55" t="s">
        <v>387</v>
      </c>
      <c r="G19" s="55" t="s">
        <v>22</v>
      </c>
      <c r="H19" s="48" t="s">
        <v>405</v>
      </c>
    </row>
    <row r="20" spans="1:8">
      <c r="A20" s="2">
        <v>107</v>
      </c>
      <c r="B20" s="48" t="s">
        <v>406</v>
      </c>
      <c r="C20" s="55" t="s">
        <v>401</v>
      </c>
      <c r="D20" s="93" t="s">
        <v>395</v>
      </c>
      <c r="E20" s="38">
        <v>202000</v>
      </c>
      <c r="F20" s="55" t="s">
        <v>387</v>
      </c>
      <c r="G20" s="55" t="s">
        <v>22</v>
      </c>
      <c r="H20" s="48" t="s">
        <v>407</v>
      </c>
    </row>
    <row r="21" spans="1:8" s="46" customFormat="1">
      <c r="A21" s="2">
        <v>113</v>
      </c>
      <c r="B21" s="82" t="s">
        <v>431</v>
      </c>
      <c r="C21" s="95">
        <v>46108</v>
      </c>
      <c r="D21" s="18" t="s">
        <v>432</v>
      </c>
      <c r="E21" s="38">
        <v>14904000</v>
      </c>
      <c r="F21" s="55" t="s">
        <v>380</v>
      </c>
      <c r="G21" s="13" t="s">
        <v>22</v>
      </c>
      <c r="H21" s="82" t="s">
        <v>433</v>
      </c>
    </row>
    <row r="22" spans="1:8" s="46" customFormat="1">
      <c r="A22" s="2">
        <v>114</v>
      </c>
      <c r="B22" s="82" t="s">
        <v>437</v>
      </c>
      <c r="C22" s="95">
        <v>46108</v>
      </c>
      <c r="D22" s="18" t="s">
        <v>438</v>
      </c>
      <c r="E22" s="38">
        <v>1004400</v>
      </c>
      <c r="F22" s="55" t="s">
        <v>380</v>
      </c>
      <c r="G22" s="13" t="s">
        <v>22</v>
      </c>
      <c r="H22" s="82" t="s">
        <v>439</v>
      </c>
    </row>
    <row r="23" spans="1:8" s="46" customFormat="1">
      <c r="A23" s="2">
        <v>115</v>
      </c>
      <c r="B23" s="82" t="s">
        <v>443</v>
      </c>
      <c r="C23" s="95">
        <v>46108</v>
      </c>
      <c r="D23" s="18" t="s">
        <v>444</v>
      </c>
      <c r="E23" s="38">
        <v>1728000</v>
      </c>
      <c r="F23" s="55" t="s">
        <v>380</v>
      </c>
      <c r="G23" s="13" t="s">
        <v>22</v>
      </c>
      <c r="H23" s="82" t="s">
        <v>445</v>
      </c>
    </row>
    <row r="24" spans="1:8" s="46" customFormat="1">
      <c r="A24" s="2">
        <v>117</v>
      </c>
      <c r="B24" s="82" t="s">
        <v>376</v>
      </c>
      <c r="C24" s="95">
        <v>46108</v>
      </c>
      <c r="D24" s="18" t="s">
        <v>375</v>
      </c>
      <c r="E24" s="38">
        <v>5826320</v>
      </c>
      <c r="F24" s="13">
        <v>0.08</v>
      </c>
      <c r="G24" s="13" t="s">
        <v>429</v>
      </c>
      <c r="H24" s="82" t="s">
        <v>447</v>
      </c>
    </row>
    <row r="25" spans="1:8" s="46" customFormat="1">
      <c r="A25" s="2">
        <v>118</v>
      </c>
      <c r="B25" s="82" t="s">
        <v>448</v>
      </c>
      <c r="C25" s="95">
        <v>46108</v>
      </c>
      <c r="D25" s="18" t="s">
        <v>267</v>
      </c>
      <c r="E25" s="38">
        <v>748999680</v>
      </c>
      <c r="F25" s="12">
        <v>0.1</v>
      </c>
      <c r="G25" s="13" t="s">
        <v>449</v>
      </c>
      <c r="H25" s="82" t="s">
        <v>448</v>
      </c>
    </row>
    <row r="26" spans="1:8" s="46" customFormat="1">
      <c r="A26" s="2">
        <v>119</v>
      </c>
      <c r="B26" s="82" t="s">
        <v>450</v>
      </c>
      <c r="C26" s="95">
        <v>46108</v>
      </c>
      <c r="D26" s="18" t="s">
        <v>451</v>
      </c>
      <c r="E26" s="38">
        <v>1528200</v>
      </c>
      <c r="F26" s="55" t="s">
        <v>380</v>
      </c>
      <c r="G26" s="13" t="s">
        <v>22</v>
      </c>
      <c r="H26" s="82" t="s">
        <v>465</v>
      </c>
    </row>
    <row r="27" spans="1:8" s="46" customFormat="1">
      <c r="A27" s="2">
        <v>120</v>
      </c>
      <c r="B27" s="82" t="s">
        <v>453</v>
      </c>
      <c r="C27" s="95">
        <v>46108</v>
      </c>
      <c r="D27" s="18" t="s">
        <v>454</v>
      </c>
      <c r="E27" s="38">
        <v>5000243</v>
      </c>
      <c r="F27" s="12">
        <v>0.1</v>
      </c>
      <c r="G27" s="13" t="s">
        <v>22</v>
      </c>
      <c r="H27" s="82" t="s">
        <v>453</v>
      </c>
    </row>
    <row r="28" spans="1:8" s="46" customFormat="1" ht="61.5">
      <c r="A28" s="2">
        <v>121</v>
      </c>
      <c r="B28" s="82" t="s">
        <v>462</v>
      </c>
      <c r="C28" s="83"/>
      <c r="D28" s="18" t="s">
        <v>81</v>
      </c>
      <c r="E28" s="84">
        <f>105413000*95%</f>
        <v>100142350</v>
      </c>
      <c r="F28" s="12">
        <v>0.1</v>
      </c>
      <c r="G28" s="13" t="s">
        <v>22</v>
      </c>
      <c r="H28" s="37" t="s">
        <v>464</v>
      </c>
    </row>
    <row r="29" spans="1:8" s="46" customFormat="1" ht="30">
      <c r="A29" s="2">
        <v>122</v>
      </c>
      <c r="B29" s="82" t="s">
        <v>460</v>
      </c>
      <c r="C29" s="95" t="s">
        <v>99</v>
      </c>
      <c r="D29" s="18" t="s">
        <v>81</v>
      </c>
      <c r="E29" s="38">
        <v>315418125</v>
      </c>
      <c r="F29" s="12">
        <v>0.1</v>
      </c>
      <c r="G29" s="13" t="s">
        <v>22</v>
      </c>
      <c r="H29" s="37" t="s">
        <v>461</v>
      </c>
    </row>
    <row r="30" spans="1:8">
      <c r="C30" s="107" t="s">
        <v>418</v>
      </c>
      <c r="D30" s="67" t="s">
        <v>415</v>
      </c>
      <c r="E30" s="63">
        <f>SUM(E2:E29)</f>
        <v>1342035139</v>
      </c>
      <c r="F30" s="66"/>
    </row>
    <row r="31" spans="1:8">
      <c r="C31" s="107"/>
      <c r="D31" s="67" t="s">
        <v>416</v>
      </c>
      <c r="E31" s="64">
        <v>0</v>
      </c>
      <c r="F31" s="67"/>
    </row>
    <row r="32" spans="1:8">
      <c r="C32" s="107"/>
      <c r="D32" s="67" t="s">
        <v>417</v>
      </c>
      <c r="E32" s="65">
        <v>0</v>
      </c>
      <c r="F32" s="67"/>
    </row>
    <row r="33" spans="5:9">
      <c r="E33" s="96">
        <f>E30/26312</f>
        <v>51004.679955913649</v>
      </c>
    </row>
    <row r="34" spans="5:9">
      <c r="H34" s="38">
        <v>2102787500</v>
      </c>
    </row>
    <row r="35" spans="5:9">
      <c r="H35" s="38">
        <v>105413000</v>
      </c>
      <c r="I35" s="96">
        <f>H35*0.95</f>
        <v>100142350</v>
      </c>
    </row>
    <row r="36" spans="5:9">
      <c r="H36" s="57">
        <f>支付明细!E47+支付明细!E35+支付明细!E30</f>
        <v>1682230000</v>
      </c>
    </row>
    <row r="37" spans="5:9">
      <c r="H37" s="57">
        <f>H34*0.05</f>
        <v>105139375</v>
      </c>
    </row>
    <row r="38" spans="5:9">
      <c r="H38" s="57">
        <f>H34*0.15</f>
        <v>315418125</v>
      </c>
    </row>
  </sheetData>
  <mergeCells count="1">
    <mergeCell ref="C30:C32"/>
  </mergeCells>
  <phoneticPr fontId="6" type="noConversion"/>
  <pageMargins left="0.7" right="0.7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52877-5091-4634-AA19-1B933EEFD5CC}">
  <dimension ref="A1:H19"/>
  <sheetViews>
    <sheetView topLeftCell="A7" workbookViewId="0">
      <selection activeCell="E22" sqref="E22"/>
    </sheetView>
  </sheetViews>
  <sheetFormatPr defaultRowHeight="15.75"/>
  <cols>
    <col min="1" max="1" width="5.125" bestFit="1" customWidth="1"/>
    <col min="2" max="2" width="31.625" bestFit="1" customWidth="1"/>
    <col min="3" max="3" width="11.25" bestFit="1" customWidth="1"/>
    <col min="4" max="4" width="24.125" bestFit="1" customWidth="1"/>
    <col min="5" max="5" width="17.75" bestFit="1" customWidth="1"/>
    <col min="6" max="6" width="5.125" bestFit="1" customWidth="1"/>
    <col min="7" max="7" width="10.125" bestFit="1" customWidth="1"/>
    <col min="8" max="8" width="58.5" style="58" bestFit="1" customWidth="1"/>
  </cols>
  <sheetData>
    <row r="1" spans="1:8">
      <c r="A1" s="2" t="s">
        <v>14</v>
      </c>
      <c r="B1" s="2" t="s">
        <v>15</v>
      </c>
      <c r="C1" s="4" t="s">
        <v>13</v>
      </c>
      <c r="D1" s="2" t="s">
        <v>283</v>
      </c>
      <c r="E1" s="2" t="s">
        <v>24</v>
      </c>
      <c r="F1" s="2" t="s">
        <v>25</v>
      </c>
      <c r="G1" s="2" t="s">
        <v>19</v>
      </c>
      <c r="H1" s="30" t="s">
        <v>187</v>
      </c>
    </row>
    <row r="2" spans="1:8">
      <c r="A2" s="17">
        <v>42</v>
      </c>
      <c r="B2" s="18" t="s">
        <v>82</v>
      </c>
      <c r="C2" s="11">
        <v>45965</v>
      </c>
      <c r="D2" s="13" t="s">
        <v>83</v>
      </c>
      <c r="E2" s="20">
        <v>4852000</v>
      </c>
      <c r="F2" s="12">
        <v>0.1</v>
      </c>
      <c r="G2" s="13" t="s">
        <v>22</v>
      </c>
      <c r="H2" s="37"/>
    </row>
    <row r="3" spans="1:8">
      <c r="A3" s="17">
        <v>45</v>
      </c>
      <c r="B3" s="18" t="s">
        <v>68</v>
      </c>
      <c r="C3" s="11">
        <v>45965</v>
      </c>
      <c r="D3" s="13" t="s">
        <v>83</v>
      </c>
      <c r="E3" s="20">
        <v>2160000</v>
      </c>
      <c r="F3" s="12">
        <v>0.08</v>
      </c>
      <c r="G3" s="13" t="s">
        <v>22</v>
      </c>
      <c r="H3" s="37" t="s">
        <v>85</v>
      </c>
    </row>
    <row r="4" spans="1:8" ht="31.5">
      <c r="A4" s="17">
        <v>50</v>
      </c>
      <c r="B4" s="18" t="s">
        <v>163</v>
      </c>
      <c r="C4" s="11">
        <v>45986</v>
      </c>
      <c r="D4" s="32" t="s">
        <v>235</v>
      </c>
      <c r="E4" s="20">
        <v>3894000</v>
      </c>
      <c r="F4" s="12">
        <v>0.08</v>
      </c>
      <c r="G4" s="13" t="s">
        <v>22</v>
      </c>
      <c r="H4" s="37" t="s">
        <v>164</v>
      </c>
    </row>
    <row r="5" spans="1:8" ht="31.5">
      <c r="A5" s="2">
        <v>68</v>
      </c>
      <c r="B5" s="37" t="s">
        <v>386</v>
      </c>
      <c r="C5" s="11">
        <v>46022</v>
      </c>
      <c r="D5" s="13" t="s">
        <v>240</v>
      </c>
      <c r="E5" s="38">
        <v>14200000</v>
      </c>
      <c r="F5" s="12">
        <v>0.1</v>
      </c>
      <c r="G5" s="13" t="s">
        <v>22</v>
      </c>
      <c r="H5" s="37" t="s">
        <v>394</v>
      </c>
    </row>
    <row r="6" spans="1:8">
      <c r="A6" s="2">
        <v>71</v>
      </c>
      <c r="B6" s="18" t="s">
        <v>259</v>
      </c>
      <c r="C6" s="11">
        <v>46035</v>
      </c>
      <c r="D6" s="13" t="s">
        <v>260</v>
      </c>
      <c r="E6" s="38">
        <v>2535000</v>
      </c>
      <c r="F6" s="12">
        <v>0.08</v>
      </c>
      <c r="G6" s="13" t="s">
        <v>22</v>
      </c>
      <c r="H6" s="37" t="s">
        <v>262</v>
      </c>
    </row>
    <row r="7" spans="1:8" ht="94.5">
      <c r="A7" s="2">
        <v>73</v>
      </c>
      <c r="B7" s="18" t="s">
        <v>263</v>
      </c>
      <c r="C7" s="11">
        <v>46035</v>
      </c>
      <c r="D7" s="13" t="s">
        <v>264</v>
      </c>
      <c r="E7" s="38">
        <v>1615075</v>
      </c>
      <c r="F7" s="12">
        <v>0.08</v>
      </c>
      <c r="G7" s="13" t="s">
        <v>22</v>
      </c>
      <c r="H7" s="37" t="s">
        <v>265</v>
      </c>
    </row>
    <row r="8" spans="1:8">
      <c r="A8" s="2">
        <v>76</v>
      </c>
      <c r="B8" s="18" t="s">
        <v>269</v>
      </c>
      <c r="C8" s="11">
        <v>46035</v>
      </c>
      <c r="D8" s="13" t="s">
        <v>271</v>
      </c>
      <c r="E8" s="38">
        <v>3355000</v>
      </c>
      <c r="F8" s="12">
        <v>0.1</v>
      </c>
      <c r="G8" s="13" t="s">
        <v>22</v>
      </c>
      <c r="H8" s="37" t="s">
        <v>272</v>
      </c>
    </row>
    <row r="9" spans="1:8" ht="236.25">
      <c r="A9" s="2">
        <v>77</v>
      </c>
      <c r="B9" s="18" t="s">
        <v>273</v>
      </c>
      <c r="C9" s="11">
        <v>46035</v>
      </c>
      <c r="D9" s="13" t="s">
        <v>395</v>
      </c>
      <c r="E9" s="38">
        <v>10217000</v>
      </c>
      <c r="F9" s="12">
        <v>0</v>
      </c>
      <c r="G9" s="13" t="s">
        <v>22</v>
      </c>
      <c r="H9" s="59" t="s">
        <v>274</v>
      </c>
    </row>
    <row r="10" spans="1:8">
      <c r="A10" s="2">
        <v>80</v>
      </c>
      <c r="B10" s="18" t="s">
        <v>286</v>
      </c>
      <c r="C10" s="11">
        <v>46035</v>
      </c>
      <c r="D10" s="13" t="s">
        <v>285</v>
      </c>
      <c r="E10" s="38">
        <v>4400000</v>
      </c>
      <c r="F10" s="12">
        <v>0.1</v>
      </c>
      <c r="G10" s="13" t="s">
        <v>22</v>
      </c>
      <c r="H10" s="37" t="s">
        <v>287</v>
      </c>
    </row>
    <row r="11" spans="1:8">
      <c r="A11" s="2">
        <v>92</v>
      </c>
      <c r="B11" s="48" t="s">
        <v>341</v>
      </c>
      <c r="C11" s="11">
        <v>46076</v>
      </c>
      <c r="D11" s="48" t="s">
        <v>342</v>
      </c>
      <c r="E11" s="38">
        <v>6666620</v>
      </c>
      <c r="F11" s="12">
        <v>0.1</v>
      </c>
      <c r="G11" s="13" t="s">
        <v>22</v>
      </c>
      <c r="H11" s="56" t="s">
        <v>343</v>
      </c>
    </row>
    <row r="12" spans="1:8">
      <c r="A12" s="2">
        <v>93</v>
      </c>
      <c r="B12" s="48" t="s">
        <v>397</v>
      </c>
      <c r="C12" s="11">
        <v>46076</v>
      </c>
      <c r="D12" s="48" t="s">
        <v>345</v>
      </c>
      <c r="E12" s="38">
        <v>10318000</v>
      </c>
      <c r="F12" s="12">
        <v>0.08</v>
      </c>
      <c r="G12" s="13" t="s">
        <v>22</v>
      </c>
      <c r="H12" s="56" t="s">
        <v>396</v>
      </c>
    </row>
    <row r="13" spans="1:8">
      <c r="A13" s="2">
        <v>100</v>
      </c>
      <c r="B13" s="48" t="s">
        <v>376</v>
      </c>
      <c r="C13" s="11">
        <v>46098</v>
      </c>
      <c r="D13" s="48" t="s">
        <v>375</v>
      </c>
      <c r="E13" s="38">
        <v>629208</v>
      </c>
      <c r="F13" s="12">
        <v>0.08</v>
      </c>
      <c r="G13" s="13" t="s">
        <v>22</v>
      </c>
      <c r="H13" s="56" t="s">
        <v>374</v>
      </c>
    </row>
    <row r="14" spans="1:8">
      <c r="A14" s="2">
        <v>103</v>
      </c>
      <c r="B14" s="48" t="s">
        <v>400</v>
      </c>
      <c r="C14" s="11">
        <v>46098</v>
      </c>
      <c r="D14" s="48" t="s">
        <v>385</v>
      </c>
      <c r="E14" s="38">
        <v>44542520</v>
      </c>
      <c r="F14" s="55" t="s">
        <v>380</v>
      </c>
      <c r="G14" s="13" t="s">
        <v>22</v>
      </c>
      <c r="H14" s="56" t="s">
        <v>398</v>
      </c>
    </row>
    <row r="15" spans="1:8" ht="31.5">
      <c r="A15" s="2">
        <v>104</v>
      </c>
      <c r="B15" s="48" t="s">
        <v>390</v>
      </c>
      <c r="C15" s="11">
        <v>46098</v>
      </c>
      <c r="D15" s="48" t="s">
        <v>388</v>
      </c>
      <c r="E15" s="38">
        <v>8893606</v>
      </c>
      <c r="F15" s="55" t="s">
        <v>387</v>
      </c>
      <c r="G15" s="13" t="s">
        <v>22</v>
      </c>
      <c r="H15" s="56" t="s">
        <v>389</v>
      </c>
    </row>
    <row r="16" spans="1:8">
      <c r="A16" s="2">
        <v>105</v>
      </c>
      <c r="B16" s="48" t="s">
        <v>402</v>
      </c>
      <c r="C16" s="48" t="s">
        <v>401</v>
      </c>
      <c r="D16" s="48" t="s">
        <v>395</v>
      </c>
      <c r="E16" s="38">
        <v>450000</v>
      </c>
      <c r="F16" s="55" t="s">
        <v>387</v>
      </c>
      <c r="G16" s="55" t="s">
        <v>22</v>
      </c>
      <c r="H16" s="56" t="s">
        <v>403</v>
      </c>
    </row>
    <row r="17" spans="1:8">
      <c r="A17" s="2">
        <v>106</v>
      </c>
      <c r="B17" s="48" t="s">
        <v>404</v>
      </c>
      <c r="C17" s="48" t="s">
        <v>401</v>
      </c>
      <c r="D17" s="48" t="s">
        <v>395</v>
      </c>
      <c r="E17" s="38">
        <v>180000</v>
      </c>
      <c r="F17" s="55" t="s">
        <v>387</v>
      </c>
      <c r="G17" s="55" t="s">
        <v>22</v>
      </c>
      <c r="H17" s="56" t="s">
        <v>405</v>
      </c>
    </row>
    <row r="18" spans="1:8">
      <c r="A18" s="2">
        <v>107</v>
      </c>
      <c r="B18" s="48" t="s">
        <v>406</v>
      </c>
      <c r="C18" s="48" t="s">
        <v>401</v>
      </c>
      <c r="D18" s="48" t="s">
        <v>395</v>
      </c>
      <c r="E18" s="38">
        <v>202000</v>
      </c>
      <c r="F18" s="55" t="s">
        <v>387</v>
      </c>
      <c r="G18" s="55" t="s">
        <v>22</v>
      </c>
      <c r="H18" s="56" t="s">
        <v>407</v>
      </c>
    </row>
    <row r="19" spans="1:8">
      <c r="E19" s="57">
        <f>SUM(E2:E18)</f>
        <v>119110029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支付明细</vt:lpstr>
      <vt:lpstr>应付账款</vt:lpstr>
      <vt:lpstr>现金部分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2026-01-03T08:59:29Z</cp:lastPrinted>
  <dcterms:created xsi:type="dcterms:W3CDTF">2024-11-29T09:31:28Z</dcterms:created>
  <dcterms:modified xsi:type="dcterms:W3CDTF">2026-04-02T09:54:51Z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