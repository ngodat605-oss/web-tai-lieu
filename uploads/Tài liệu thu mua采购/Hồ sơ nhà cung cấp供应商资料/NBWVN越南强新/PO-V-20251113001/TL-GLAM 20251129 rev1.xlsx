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Z:\NEW-BEST 共用資料夾\ALL_USER\銷售營業部- Kinh Doanh\國內出貨 Domestic-xuất trong nước\GLAM\28.11\"/>
    </mc:Choice>
  </mc:AlternateContent>
  <xr:revisionPtr revIDLastSave="0" documentId="13_ncr:1_{7F8461C2-30BF-41E2-897D-F928C835CFF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ỔNG" sheetId="3" r:id="rId1"/>
  </sheets>
  <definedNames>
    <definedName name="_xlnm._FilterDatabase" localSheetId="0" hidden="1">TỔNG!$A$7:$J$7</definedName>
    <definedName name="_xlnm.Print_Area" localSheetId="0">TỔNG!$A$1:$J$55</definedName>
    <definedName name="_xlnm.Print_Titles" localSheetId="0">TỔNG!$7:$7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5" i="3" l="1"/>
  <c r="I24" i="3"/>
  <c r="H58" i="3"/>
  <c r="I23" i="3"/>
  <c r="I22" i="3"/>
  <c r="I21" i="3"/>
  <c r="I20" i="3"/>
  <c r="I19" i="3"/>
  <c r="I18" i="3"/>
  <c r="I17" i="3"/>
  <c r="I16" i="3"/>
  <c r="I15" i="3"/>
  <c r="I14" i="3"/>
  <c r="I13" i="3"/>
  <c r="I12" i="3"/>
  <c r="I9" i="3"/>
  <c r="I10" i="3"/>
  <c r="I11" i="3"/>
  <c r="I8" i="3"/>
  <c r="I58" i="3"/>
  <c r="I53" i="3" l="1"/>
  <c r="I54" i="3"/>
  <c r="H54" i="3"/>
  <c r="H53" i="3"/>
  <c r="I6" i="3" l="1"/>
  <c r="I61" i="3"/>
  <c r="H61" i="3"/>
  <c r="I52" i="3"/>
  <c r="H52" i="3"/>
  <c r="H48" i="3"/>
  <c r="A9" i="3" l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I48" i="3"/>
  <c r="I59" i="3"/>
  <c r="I60" i="3"/>
  <c r="H59" i="3"/>
  <c r="H60" i="3"/>
  <c r="A39" i="3" l="1"/>
  <c r="A40" i="3" s="1"/>
  <c r="A41" i="3" s="1"/>
  <c r="A42" i="3" s="1"/>
  <c r="A43" i="3" s="1"/>
  <c r="A44" i="3" s="1"/>
  <c r="A45" i="3" s="1"/>
  <c r="A46" i="3" s="1"/>
  <c r="A47" i="3" s="1"/>
  <c r="H55" i="3" l="1"/>
  <c r="H63" i="3" l="1"/>
  <c r="I55" i="3"/>
  <c r="H6" i="3" l="1"/>
  <c r="I63" i="3" l="1"/>
</calcChain>
</file>

<file path=xl/sharedStrings.xml><?xml version="1.0" encoding="utf-8"?>
<sst xmlns="http://schemas.openxmlformats.org/spreadsheetml/2006/main" count="135" uniqueCount="28">
  <si>
    <t>NEW BEST WIRE VIETNAM INDUSTRIAL CO., LTD.
CÔNG TY TNHH CÔNG NGHIỆP NEW BEST WIRE VIỆT NAM</t>
  </si>
  <si>
    <t>TEL: +84(0)221-6513-666                FAX: +84(0)221-6512-666              MST:0901064390</t>
  </si>
  <si>
    <t>STT</t>
  </si>
  <si>
    <t>PO No.</t>
  </si>
  <si>
    <t>Weight(kg)</t>
  </si>
  <si>
    <t xml:space="preserve">GROSS WEIGHT </t>
  </si>
  <si>
    <t>Heat No.</t>
  </si>
  <si>
    <t>;;</t>
  </si>
  <si>
    <t>Customer :</t>
    <phoneticPr fontId="4" type="noConversion"/>
  </si>
  <si>
    <t xml:space="preserve">Ngày:  </t>
    <phoneticPr fontId="4" type="noConversion"/>
  </si>
  <si>
    <t>Coil No.</t>
    <phoneticPr fontId="4" type="noConversion"/>
  </si>
  <si>
    <t>Grade
等級</t>
  </si>
  <si>
    <t>Process
製程</t>
  </si>
  <si>
    <t>Dia(mm)
規格(mm)</t>
  </si>
  <si>
    <t>Weight(kg)
數量 (KG)</t>
  </si>
  <si>
    <t>Material
品名</t>
  </si>
  <si>
    <t xml:space="preserve">Số lượng </t>
  </si>
  <si>
    <r>
      <rPr>
        <b/>
        <sz val="24"/>
        <rFont val="細明體"/>
        <family val="3"/>
        <charset val="136"/>
      </rPr>
      <t xml:space="preserve">重量單
</t>
    </r>
    <r>
      <rPr>
        <b/>
        <sz val="24"/>
        <rFont val="Times New Roman"/>
        <family val="1"/>
      </rPr>
      <t xml:space="preserve">WEIGHT LIST/BẢNG TRỌNG LƯỢNG </t>
    </r>
  </si>
  <si>
    <t>Lot CN1-1, Minh Quang Industrial Park, Thuong Hong Ward, Hung Yen Province, Vietnam
Lô số CN 1-1, Khu công nghiệp Minh Quang, Phường Thượng Hồng, Tỉnh Hưng Yên, Việt Nam</t>
  </si>
  <si>
    <t>ROSH</t>
  </si>
  <si>
    <t>HCWQ</t>
  </si>
  <si>
    <t>SAIP</t>
  </si>
  <si>
    <t>SWRCH18A</t>
  </si>
  <si>
    <t>CÔNG TY TNHH ĐIỆN TỬ GLAM</t>
  </si>
  <si>
    <t>SDT: XU-KEJUN 0977572653</t>
  </si>
  <si>
    <t>V-20251113001</t>
  </si>
  <si>
    <t xml:space="preserve">HCWQ </t>
  </si>
  <si>
    <t>29.11.2025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</si>
</sst>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₫_-;\-* #,##0.00\ _₫_-;_-* &quot;-&quot;??\ _₫_-;_-@_-"/>
    <numFmt numFmtId="165" formatCode="_-* #,##0_-;\-* #,##0_-;_-* \-??_-;_-@_-"/>
  </numFmts>
  <fonts count="22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2"/>
      <name val="Times New Roman"/>
      <family val="1"/>
      <charset val="1"/>
    </font>
    <font>
      <sz val="13"/>
      <name val="Times New Roman"/>
      <family val="1"/>
      <charset val="1"/>
    </font>
    <font>
      <sz val="9"/>
      <name val="Calibri"/>
      <family val="3"/>
      <charset val="136"/>
      <scheme val="minor"/>
    </font>
    <font>
      <sz val="18"/>
      <name val="Times New Roman"/>
      <family val="1"/>
      <charset val="1"/>
    </font>
    <font>
      <sz val="18"/>
      <name val="Times New Roman"/>
      <family val="1"/>
    </font>
    <font>
      <b/>
      <sz val="18"/>
      <color indexed="8"/>
      <name val="Times New Roman"/>
      <family val="1"/>
      <charset val="1"/>
    </font>
    <font>
      <sz val="18"/>
      <color theme="1"/>
      <name val="Times New Roman"/>
      <family val="1"/>
    </font>
    <font>
      <sz val="18"/>
      <color rgb="FF000000"/>
      <name val="Times New Roman"/>
      <family val="1"/>
    </font>
    <font>
      <sz val="18"/>
      <color theme="1"/>
      <name val="Calibri"/>
      <family val="2"/>
      <charset val="163"/>
      <scheme val="minor"/>
    </font>
    <font>
      <b/>
      <sz val="13"/>
      <color rgb="FF000000"/>
      <name val="Times New Roman"/>
      <family val="1"/>
    </font>
    <font>
      <sz val="16"/>
      <name val="Times New Roman"/>
      <family val="1"/>
      <charset val="1"/>
    </font>
    <font>
      <b/>
      <sz val="14"/>
      <name val="Times New Roman"/>
      <family val="1"/>
      <charset val="1"/>
    </font>
    <font>
      <b/>
      <sz val="18"/>
      <name val="Times New Roman"/>
      <family val="1"/>
    </font>
    <font>
      <b/>
      <sz val="18"/>
      <name val="Calibri"/>
      <family val="2"/>
      <scheme val="minor"/>
    </font>
    <font>
      <b/>
      <sz val="24"/>
      <name val="Times New Roman"/>
      <family val="1"/>
    </font>
    <font>
      <b/>
      <sz val="24"/>
      <name val="細明體"/>
      <family val="3"/>
      <charset val="136"/>
    </font>
    <font>
      <b/>
      <sz val="18"/>
      <color theme="1"/>
      <name val="Times New Roman"/>
      <family val="1"/>
    </font>
    <font>
      <b/>
      <sz val="18"/>
      <color rgb="FFFF0000"/>
      <name val="Times New Roman"/>
      <family val="1"/>
    </font>
    <font>
      <b/>
      <sz val="18"/>
      <color rgb="FF000000"/>
      <name val="Times New Roman"/>
      <family val="1"/>
      <charset val="1"/>
    </font>
    <font>
      <sz val="14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44"/>
        <bgColor indexed="22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9CCFF"/>
        <bgColor rgb="FFC0C0C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2">
    <xf numFmtId="0" fontId="0" fillId="0" borderId="0" xfId="0"/>
    <xf numFmtId="0" fontId="2" fillId="2" borderId="0" xfId="0" applyFont="1" applyFill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10" fillId="0" borderId="0" xfId="0" applyFont="1"/>
    <xf numFmtId="0" fontId="7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8" fillId="0" borderId="0" xfId="0" applyFont="1" applyBorder="1" applyAlignment="1">
      <alignment horizontal="center" vertical="center"/>
    </xf>
    <xf numFmtId="3" fontId="8" fillId="0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13" fillId="0" borderId="0" xfId="0" applyFont="1" applyAlignment="1">
      <alignment horizontal="left" vertical="center"/>
    </xf>
    <xf numFmtId="165" fontId="14" fillId="5" borderId="1" xfId="1" applyNumberFormat="1" applyFont="1" applyFill="1" applyBorder="1" applyAlignment="1" applyProtection="1">
      <alignment horizontal="center" vertical="center"/>
    </xf>
    <xf numFmtId="0" fontId="14" fillId="0" borderId="0" xfId="0" applyFont="1" applyAlignment="1">
      <alignment horizontal="right" vertical="center"/>
    </xf>
    <xf numFmtId="14" fontId="14" fillId="0" borderId="0" xfId="0" quotePrefix="1" applyNumberFormat="1" applyFont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10" fillId="0" borderId="0" xfId="0" applyFont="1" applyFill="1"/>
    <xf numFmtId="3" fontId="10" fillId="0" borderId="0" xfId="0" applyNumberFormat="1" applyFont="1" applyFill="1"/>
    <xf numFmtId="0" fontId="20" fillId="6" borderId="1" xfId="0" applyFont="1" applyFill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8" fillId="0" borderId="1" xfId="0" applyNumberFormat="1" applyFont="1" applyFill="1" applyBorder="1" applyAlignment="1">
      <alignment horizontal="center" vertical="center"/>
    </xf>
    <xf numFmtId="0" fontId="8" fillId="0" borderId="1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 wrapText="1"/>
    </xf>
    <xf numFmtId="3" fontId="8" fillId="0" borderId="0" xfId="0" applyNumberFormat="1" applyFont="1" applyFill="1" applyBorder="1" applyAlignment="1">
      <alignment horizontal="center" vertical="center"/>
    </xf>
    <xf numFmtId="0" fontId="0" fillId="2" borderId="0" xfId="0" applyFill="1"/>
    <xf numFmtId="0" fontId="8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3" fontId="15" fillId="5" borderId="1" xfId="0" applyNumberFormat="1" applyFont="1" applyFill="1" applyBorder="1" applyAlignment="1">
      <alignment horizontal="center" vertical="center"/>
    </xf>
    <xf numFmtId="0" fontId="9" fillId="5" borderId="2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/>
    <xf numFmtId="1" fontId="8" fillId="0" borderId="1" xfId="0" applyNumberFormat="1" applyFont="1" applyFill="1" applyBorder="1" applyAlignment="1"/>
    <xf numFmtId="0" fontId="8" fillId="0" borderId="1" xfId="0" applyFont="1" applyFill="1" applyBorder="1" applyAlignment="1"/>
    <xf numFmtId="0" fontId="8" fillId="2" borderId="1" xfId="0" applyFont="1" applyFill="1" applyBorder="1" applyAlignment="1">
      <alignment horizontal="center" vertical="center"/>
    </xf>
    <xf numFmtId="3" fontId="15" fillId="5" borderId="3" xfId="0" applyNumberFormat="1" applyFont="1" applyFill="1" applyBorder="1" applyAlignment="1">
      <alignment horizontal="center" vertical="center"/>
    </xf>
    <xf numFmtId="0" fontId="8" fillId="0" borderId="2" xfId="0" applyFont="1" applyFill="1" applyBorder="1" applyAlignment="1"/>
    <xf numFmtId="0" fontId="9" fillId="0" borderId="4" xfId="0" applyFont="1" applyFill="1" applyBorder="1" applyAlignment="1"/>
    <xf numFmtId="0" fontId="18" fillId="0" borderId="4" xfId="0" applyFont="1" applyFill="1" applyBorder="1" applyAlignment="1"/>
    <xf numFmtId="0" fontId="10" fillId="0" borderId="4" xfId="0" applyFont="1" applyBorder="1" applyAlignment="1"/>
    <xf numFmtId="0" fontId="8" fillId="0" borderId="0" xfId="0" applyFont="1" applyFill="1" applyBorder="1" applyAlignment="1"/>
    <xf numFmtId="0" fontId="9" fillId="0" borderId="0" xfId="0" applyFont="1" applyFill="1" applyBorder="1" applyAlignment="1"/>
    <xf numFmtId="0" fontId="18" fillId="0" borderId="0" xfId="0" applyFont="1" applyFill="1" applyBorder="1" applyAlignment="1"/>
    <xf numFmtId="0" fontId="10" fillId="0" borderId="0" xfId="0" applyFont="1" applyBorder="1" applyAlignment="1"/>
    <xf numFmtId="1" fontId="9" fillId="7" borderId="2" xfId="0" applyNumberFormat="1" applyFont="1" applyFill="1" applyBorder="1" applyAlignment="1">
      <alignment horizontal="center" vertical="center"/>
    </xf>
    <xf numFmtId="1" fontId="9" fillId="8" borderId="2" xfId="0" applyNumberFormat="1" applyFont="1" applyFill="1" applyBorder="1" applyAlignment="1">
      <alignment horizontal="center" vertical="center"/>
    </xf>
    <xf numFmtId="1" fontId="9" fillId="8" borderId="4" xfId="0" applyNumberFormat="1" applyFont="1" applyFill="1" applyBorder="1" applyAlignment="1">
      <alignment horizontal="center" vertical="center"/>
    </xf>
    <xf numFmtId="2" fontId="9" fillId="8" borderId="4" xfId="0" applyNumberFormat="1" applyFont="1" applyFill="1" applyBorder="1" applyAlignment="1">
      <alignment horizontal="center" vertical="center"/>
    </xf>
    <xf numFmtId="1" fontId="9" fillId="10" borderId="2" xfId="0" applyNumberFormat="1" applyFont="1" applyFill="1" applyBorder="1" applyAlignment="1">
      <alignment horizontal="center" vertical="center"/>
    </xf>
    <xf numFmtId="1" fontId="9" fillId="10" borderId="4" xfId="0" applyNumberFormat="1" applyFont="1" applyFill="1" applyBorder="1" applyAlignment="1">
      <alignment horizontal="center" vertical="center"/>
    </xf>
    <xf numFmtId="0" fontId="0" fillId="9" borderId="0" xfId="0" applyFill="1"/>
    <xf numFmtId="0" fontId="11" fillId="9" borderId="0" xfId="0" applyFont="1" applyFill="1" applyBorder="1" applyAlignment="1">
      <alignment horizontal="left" vertical="center"/>
    </xf>
    <xf numFmtId="0" fontId="0" fillId="9" borderId="0" xfId="0" applyFill="1" applyAlignment="1"/>
    <xf numFmtId="0" fontId="21" fillId="2" borderId="1" xfId="0" applyFont="1" applyFill="1" applyBorder="1" applyAlignment="1">
      <alignment horizontal="center" vertical="center"/>
    </xf>
    <xf numFmtId="1" fontId="9" fillId="0" borderId="1" xfId="0" applyNumberFormat="1" applyFont="1" applyFill="1" applyBorder="1" applyAlignment="1">
      <alignment horizontal="center" vertical="center"/>
    </xf>
    <xf numFmtId="2" fontId="9" fillId="0" borderId="3" xfId="0" applyNumberFormat="1" applyFont="1" applyFill="1" applyBorder="1" applyAlignment="1">
      <alignment horizontal="center" vertical="center"/>
    </xf>
    <xf numFmtId="1" fontId="9" fillId="5" borderId="2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1" fontId="9" fillId="0" borderId="2" xfId="0" applyNumberFormat="1" applyFont="1" applyFill="1" applyBorder="1" applyAlignment="1">
      <alignment horizontal="center" vertical="center"/>
    </xf>
    <xf numFmtId="1" fontId="9" fillId="0" borderId="4" xfId="0" applyNumberFormat="1" applyFont="1" applyFill="1" applyBorder="1" applyAlignment="1">
      <alignment horizontal="center" vertical="center"/>
    </xf>
    <xf numFmtId="2" fontId="9" fillId="0" borderId="4" xfId="0" applyNumberFormat="1" applyFont="1" applyFill="1" applyBorder="1" applyAlignment="1">
      <alignment horizontal="center" vertical="center"/>
    </xf>
    <xf numFmtId="1" fontId="8" fillId="0" borderId="1" xfId="0" applyNumberFormat="1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1" fontId="9" fillId="0" borderId="1" xfId="0" applyNumberFormat="1" applyFont="1" applyFill="1" applyBorder="1" applyAlignment="1">
      <alignment horizontal="center" vertical="center"/>
    </xf>
    <xf numFmtId="2" fontId="9" fillId="0" borderId="3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1" fontId="9" fillId="9" borderId="1" xfId="0" applyNumberFormat="1" applyFont="1" applyFill="1" applyBorder="1" applyAlignment="1">
      <alignment horizontal="center" vertical="center"/>
    </xf>
    <xf numFmtId="1" fontId="8" fillId="9" borderId="1" xfId="0" applyNumberFormat="1" applyFont="1" applyFill="1" applyBorder="1" applyAlignment="1">
      <alignment horizontal="center" vertical="center"/>
    </xf>
    <xf numFmtId="2" fontId="9" fillId="9" borderId="3" xfId="0" applyNumberFormat="1" applyFont="1" applyFill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2" fontId="9" fillId="0" borderId="4" xfId="0" applyNumberFormat="1" applyFont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" fontId="8" fillId="11" borderId="1" xfId="0" applyNumberFormat="1" applyFont="1" applyFill="1" applyBorder="1" applyAlignment="1">
      <alignment horizontal="center" vertical="center"/>
    </xf>
    <xf numFmtId="2" fontId="9" fillId="11" borderId="3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359074</xdr:colOff>
      <xdr:row>0</xdr:row>
      <xdr:rowOff>72362</xdr:rowOff>
    </xdr:from>
    <xdr:to>
      <xdr:col>1</xdr:col>
      <xdr:colOff>866775</xdr:colOff>
      <xdr:row>1</xdr:row>
      <xdr:rowOff>250172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9074" y="72362"/>
          <a:ext cx="1091107" cy="915998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4"/>
  <sheetViews>
    <sheetView tabSelected="1" view="pageBreakPreview" zoomScale="70" zoomScaleNormal="70" zoomScaleSheetLayoutView="70" workbookViewId="0">
      <selection activeCell="M51" sqref="M51"/>
    </sheetView>
  </sheetViews>
  <sheetFormatPr defaultRowHeight="15"/>
  <cols>
    <col min="1" max="1" width="8.7109375" customWidth="1"/>
    <col min="2" max="2" width="22.140625" customWidth="1"/>
    <col min="3" max="3" width="38" customWidth="1"/>
    <col min="4" max="4" width="22.85546875" customWidth="1"/>
    <col min="5" max="5" width="18.42578125" style="6" customWidth="1"/>
    <col min="6" max="6" width="17.28515625" customWidth="1"/>
    <col min="7" max="7" width="19.42578125" customWidth="1"/>
    <col min="8" max="8" width="25.5703125" customWidth="1"/>
    <col min="9" max="9" width="22" customWidth="1"/>
    <col min="10" max="10" width="19.42578125" customWidth="1"/>
    <col min="11" max="11" width="16.28515625" customWidth="1"/>
    <col min="14" max="14" width="12" bestFit="1" customWidth="1"/>
  </cols>
  <sheetData>
    <row r="1" spans="1:22" s="3" customFormat="1" ht="58.15" customHeight="1">
      <c r="A1" s="86" t="s">
        <v>0</v>
      </c>
      <c r="B1" s="87"/>
      <c r="C1" s="87"/>
      <c r="D1" s="87"/>
      <c r="E1" s="87"/>
      <c r="F1" s="87"/>
      <c r="G1" s="87"/>
      <c r="H1" s="87"/>
      <c r="I1" s="87"/>
      <c r="J1" s="87"/>
      <c r="K1" s="1"/>
      <c r="L1" s="2"/>
    </row>
    <row r="2" spans="1:22" s="3" customFormat="1" ht="45.75" customHeight="1">
      <c r="A2" s="88" t="s">
        <v>18</v>
      </c>
      <c r="B2" s="88"/>
      <c r="C2" s="88"/>
      <c r="D2" s="88"/>
      <c r="E2" s="88"/>
      <c r="F2" s="88"/>
      <c r="G2" s="88"/>
      <c r="H2" s="88"/>
      <c r="I2" s="88"/>
      <c r="J2" s="88"/>
      <c r="K2" s="1"/>
      <c r="L2" s="2"/>
    </row>
    <row r="3" spans="1:22" s="3" customFormat="1" ht="26.25" customHeight="1">
      <c r="A3" s="89" t="s">
        <v>1</v>
      </c>
      <c r="B3" s="89"/>
      <c r="C3" s="89"/>
      <c r="D3" s="89"/>
      <c r="E3" s="89"/>
      <c r="F3" s="89"/>
      <c r="G3" s="89"/>
      <c r="H3" s="89"/>
      <c r="I3" s="89"/>
      <c r="J3" s="89"/>
      <c r="K3" s="4"/>
    </row>
    <row r="4" spans="1:22" s="3" customFormat="1" ht="61.5" customHeight="1">
      <c r="A4" s="90" t="s">
        <v>17</v>
      </c>
      <c r="B4" s="91"/>
      <c r="C4" s="91"/>
      <c r="D4" s="91"/>
      <c r="E4" s="91"/>
      <c r="F4" s="91"/>
      <c r="G4" s="91"/>
      <c r="H4" s="91"/>
      <c r="I4" s="91"/>
      <c r="J4" s="91"/>
      <c r="K4" s="4"/>
    </row>
    <row r="5" spans="1:22" s="18" customFormat="1" ht="39.75" customHeight="1">
      <c r="A5" s="15"/>
      <c r="B5" s="15" t="s">
        <v>8</v>
      </c>
      <c r="C5" s="20" t="s">
        <v>23</v>
      </c>
      <c r="D5" s="15"/>
      <c r="E5" s="29"/>
      <c r="F5" s="15"/>
      <c r="H5" s="22" t="s">
        <v>9</v>
      </c>
      <c r="I5" s="23" t="s">
        <v>27</v>
      </c>
      <c r="J5" s="15"/>
      <c r="K5" s="19"/>
    </row>
    <row r="6" spans="1:22" s="3" customFormat="1" ht="43.5" customHeight="1">
      <c r="A6" s="11"/>
      <c r="B6" s="77" t="s">
        <v>24</v>
      </c>
      <c r="C6" s="11"/>
      <c r="D6" s="11"/>
      <c r="E6" s="29"/>
      <c r="F6" s="11"/>
      <c r="G6" s="11"/>
      <c r="H6" s="21">
        <f>+SUM(H8:H47)</f>
        <v>924</v>
      </c>
      <c r="I6" s="21">
        <f>+SUM(I8:I47)</f>
        <v>942</v>
      </c>
      <c r="J6" s="7"/>
      <c r="K6" s="5"/>
    </row>
    <row r="7" spans="1:22" ht="95.25" customHeight="1">
      <c r="A7" s="9" t="s">
        <v>2</v>
      </c>
      <c r="B7" s="9" t="s">
        <v>10</v>
      </c>
      <c r="C7" s="9" t="s">
        <v>3</v>
      </c>
      <c r="D7" s="10" t="s">
        <v>15</v>
      </c>
      <c r="E7" s="10" t="s">
        <v>11</v>
      </c>
      <c r="F7" s="10" t="s">
        <v>12</v>
      </c>
      <c r="G7" s="10" t="s">
        <v>13</v>
      </c>
      <c r="H7" s="10" t="s">
        <v>14</v>
      </c>
      <c r="I7" s="10" t="s">
        <v>5</v>
      </c>
      <c r="J7" s="9" t="s">
        <v>6</v>
      </c>
      <c r="K7" s="9"/>
      <c r="V7" t="s">
        <v>7</v>
      </c>
    </row>
    <row r="8" spans="1:22" s="61" customFormat="1" ht="39" customHeight="1">
      <c r="A8" s="14">
        <v>1</v>
      </c>
      <c r="B8" s="75">
        <v>2510068321</v>
      </c>
      <c r="C8" s="75" t="s">
        <v>25</v>
      </c>
      <c r="D8" s="73" t="s">
        <v>22</v>
      </c>
      <c r="E8" s="73" t="s">
        <v>20</v>
      </c>
      <c r="F8" s="73" t="s">
        <v>21</v>
      </c>
      <c r="G8" s="76">
        <v>2.12</v>
      </c>
      <c r="H8" s="73">
        <v>101</v>
      </c>
      <c r="I8" s="30">
        <f>H8+1</f>
        <v>102</v>
      </c>
      <c r="J8" s="73">
        <v>453782</v>
      </c>
      <c r="K8" s="74"/>
      <c r="L8" s="62"/>
      <c r="M8" s="63"/>
    </row>
    <row r="9" spans="1:22" s="61" customFormat="1" ht="39" customHeight="1">
      <c r="A9" s="14">
        <f t="shared" ref="A9:A47" si="0">A8+1</f>
        <v>2</v>
      </c>
      <c r="B9" s="75">
        <v>2510068322</v>
      </c>
      <c r="C9" s="75" t="s">
        <v>25</v>
      </c>
      <c r="D9" s="73" t="s">
        <v>22</v>
      </c>
      <c r="E9" s="73" t="s">
        <v>20</v>
      </c>
      <c r="F9" s="73" t="s">
        <v>21</v>
      </c>
      <c r="G9" s="76">
        <v>2.12</v>
      </c>
      <c r="H9" s="73">
        <v>103</v>
      </c>
      <c r="I9" s="73">
        <f t="shared" ref="I9:I25" si="1">H9+1</f>
        <v>104</v>
      </c>
      <c r="J9" s="73">
        <v>453782</v>
      </c>
      <c r="K9" s="74"/>
      <c r="L9" s="62"/>
      <c r="M9" s="63"/>
    </row>
    <row r="10" spans="1:22" s="61" customFormat="1" ht="39" customHeight="1">
      <c r="A10" s="14">
        <f t="shared" si="0"/>
        <v>3</v>
      </c>
      <c r="B10" s="75">
        <v>2510068323</v>
      </c>
      <c r="C10" s="75" t="s">
        <v>25</v>
      </c>
      <c r="D10" s="73" t="s">
        <v>22</v>
      </c>
      <c r="E10" s="73" t="s">
        <v>20</v>
      </c>
      <c r="F10" s="73" t="s">
        <v>21</v>
      </c>
      <c r="G10" s="76">
        <v>2.12</v>
      </c>
      <c r="H10" s="73">
        <v>92</v>
      </c>
      <c r="I10" s="73">
        <f t="shared" si="1"/>
        <v>93</v>
      </c>
      <c r="J10" s="73">
        <v>453782</v>
      </c>
      <c r="K10" s="74"/>
      <c r="L10" s="62"/>
      <c r="M10" s="63"/>
    </row>
    <row r="11" spans="1:22" s="61" customFormat="1" ht="39" customHeight="1">
      <c r="A11" s="14">
        <f t="shared" si="0"/>
        <v>4</v>
      </c>
      <c r="B11" s="75">
        <v>2510070262</v>
      </c>
      <c r="C11" s="75" t="s">
        <v>25</v>
      </c>
      <c r="D11" s="73" t="s">
        <v>22</v>
      </c>
      <c r="E11" s="73" t="s">
        <v>20</v>
      </c>
      <c r="F11" s="73" t="s">
        <v>21</v>
      </c>
      <c r="G11" s="76">
        <v>2.12</v>
      </c>
      <c r="H11" s="73">
        <v>13</v>
      </c>
      <c r="I11" s="73">
        <f t="shared" si="1"/>
        <v>14</v>
      </c>
      <c r="J11" s="73">
        <v>453782</v>
      </c>
      <c r="K11" s="74"/>
      <c r="L11" s="62"/>
      <c r="M11" s="63"/>
    </row>
    <row r="12" spans="1:22" s="61" customFormat="1" ht="39" customHeight="1">
      <c r="A12" s="14">
        <f t="shared" si="0"/>
        <v>5</v>
      </c>
      <c r="B12" s="75">
        <v>2510067969</v>
      </c>
      <c r="C12" s="78" t="s">
        <v>25</v>
      </c>
      <c r="D12" s="79" t="s">
        <v>22</v>
      </c>
      <c r="E12" s="79" t="s">
        <v>26</v>
      </c>
      <c r="F12" s="79" t="s">
        <v>21</v>
      </c>
      <c r="G12" s="80">
        <v>1.68</v>
      </c>
      <c r="H12" s="73">
        <v>49</v>
      </c>
      <c r="I12" s="73">
        <f t="shared" si="1"/>
        <v>50</v>
      </c>
      <c r="J12" s="73">
        <v>453783</v>
      </c>
      <c r="K12" s="74"/>
      <c r="L12" s="62"/>
      <c r="M12" s="63"/>
    </row>
    <row r="13" spans="1:22" s="61" customFormat="1" ht="39" customHeight="1">
      <c r="A13" s="14">
        <f t="shared" si="0"/>
        <v>6</v>
      </c>
      <c r="B13" s="75">
        <v>2510067970</v>
      </c>
      <c r="C13" s="75" t="s">
        <v>25</v>
      </c>
      <c r="D13" s="73" t="s">
        <v>22</v>
      </c>
      <c r="E13" s="73" t="s">
        <v>26</v>
      </c>
      <c r="F13" s="73" t="s">
        <v>21</v>
      </c>
      <c r="G13" s="76">
        <v>1.68</v>
      </c>
      <c r="H13" s="73">
        <v>49</v>
      </c>
      <c r="I13" s="73">
        <f t="shared" si="1"/>
        <v>50</v>
      </c>
      <c r="J13" s="73">
        <v>453783</v>
      </c>
      <c r="K13" s="74"/>
      <c r="L13" s="62"/>
      <c r="M13" s="63"/>
    </row>
    <row r="14" spans="1:22" s="61" customFormat="1" ht="39" customHeight="1">
      <c r="A14" s="14">
        <f t="shared" si="0"/>
        <v>7</v>
      </c>
      <c r="B14" s="75">
        <v>2510067971</v>
      </c>
      <c r="C14" s="75" t="s">
        <v>25</v>
      </c>
      <c r="D14" s="73" t="s">
        <v>22</v>
      </c>
      <c r="E14" s="73" t="s">
        <v>26</v>
      </c>
      <c r="F14" s="73" t="s">
        <v>21</v>
      </c>
      <c r="G14" s="76">
        <v>1.68</v>
      </c>
      <c r="H14" s="73">
        <v>48</v>
      </c>
      <c r="I14" s="73">
        <f t="shared" si="1"/>
        <v>49</v>
      </c>
      <c r="J14" s="73">
        <v>453783</v>
      </c>
      <c r="K14" s="74"/>
      <c r="L14" s="62"/>
      <c r="M14" s="63"/>
    </row>
    <row r="15" spans="1:22" s="61" customFormat="1" ht="39" customHeight="1">
      <c r="A15" s="14">
        <f t="shared" si="0"/>
        <v>8</v>
      </c>
      <c r="B15" s="75">
        <v>2510067972</v>
      </c>
      <c r="C15" s="75" t="s">
        <v>25</v>
      </c>
      <c r="D15" s="73" t="s">
        <v>22</v>
      </c>
      <c r="E15" s="73" t="s">
        <v>26</v>
      </c>
      <c r="F15" s="73" t="s">
        <v>21</v>
      </c>
      <c r="G15" s="76">
        <v>1.68</v>
      </c>
      <c r="H15" s="73">
        <v>50</v>
      </c>
      <c r="I15" s="73">
        <f t="shared" si="1"/>
        <v>51</v>
      </c>
      <c r="J15" s="73">
        <v>453783</v>
      </c>
      <c r="K15" s="74"/>
      <c r="L15" s="62"/>
      <c r="M15" s="63"/>
    </row>
    <row r="16" spans="1:22" s="61" customFormat="1" ht="39" customHeight="1">
      <c r="A16" s="14">
        <f t="shared" si="0"/>
        <v>9</v>
      </c>
      <c r="B16" s="75">
        <v>2510067973</v>
      </c>
      <c r="C16" s="75" t="s">
        <v>25</v>
      </c>
      <c r="D16" s="73" t="s">
        <v>22</v>
      </c>
      <c r="E16" s="73" t="s">
        <v>26</v>
      </c>
      <c r="F16" s="73" t="s">
        <v>21</v>
      </c>
      <c r="G16" s="76">
        <v>1.68</v>
      </c>
      <c r="H16" s="73">
        <v>48</v>
      </c>
      <c r="I16" s="73">
        <f t="shared" si="1"/>
        <v>49</v>
      </c>
      <c r="J16" s="73">
        <v>453783</v>
      </c>
      <c r="K16" s="74"/>
      <c r="L16" s="62"/>
      <c r="M16" s="63"/>
    </row>
    <row r="17" spans="1:13" s="61" customFormat="1" ht="39" customHeight="1">
      <c r="A17" s="14">
        <f t="shared" si="0"/>
        <v>10</v>
      </c>
      <c r="B17" s="75">
        <v>2510067974</v>
      </c>
      <c r="C17" s="75" t="s">
        <v>25</v>
      </c>
      <c r="D17" s="73" t="s">
        <v>22</v>
      </c>
      <c r="E17" s="73" t="s">
        <v>26</v>
      </c>
      <c r="F17" s="73" t="s">
        <v>21</v>
      </c>
      <c r="G17" s="76">
        <v>1.68</v>
      </c>
      <c r="H17" s="73">
        <v>49</v>
      </c>
      <c r="I17" s="73">
        <f t="shared" si="1"/>
        <v>50</v>
      </c>
      <c r="J17" s="73">
        <v>453783</v>
      </c>
      <c r="K17" s="74"/>
      <c r="L17" s="62"/>
      <c r="M17" s="63"/>
    </row>
    <row r="18" spans="1:13" s="61" customFormat="1" ht="39" customHeight="1">
      <c r="A18" s="14">
        <f t="shared" si="0"/>
        <v>11</v>
      </c>
      <c r="B18" s="75">
        <v>2510067975</v>
      </c>
      <c r="C18" s="75" t="s">
        <v>25</v>
      </c>
      <c r="D18" s="73" t="s">
        <v>22</v>
      </c>
      <c r="E18" s="73" t="s">
        <v>26</v>
      </c>
      <c r="F18" s="73" t="s">
        <v>21</v>
      </c>
      <c r="G18" s="76">
        <v>1.68</v>
      </c>
      <c r="H18" s="73">
        <v>14</v>
      </c>
      <c r="I18" s="73">
        <f t="shared" si="1"/>
        <v>15</v>
      </c>
      <c r="J18" s="73">
        <v>453783</v>
      </c>
      <c r="K18" s="74"/>
      <c r="L18" s="62"/>
      <c r="M18" s="63"/>
    </row>
    <row r="19" spans="1:13" s="61" customFormat="1" ht="39" customHeight="1">
      <c r="A19" s="14">
        <f t="shared" si="0"/>
        <v>12</v>
      </c>
      <c r="B19" s="75">
        <v>2510067976</v>
      </c>
      <c r="C19" s="75" t="s">
        <v>25</v>
      </c>
      <c r="D19" s="73" t="s">
        <v>22</v>
      </c>
      <c r="E19" s="73" t="s">
        <v>26</v>
      </c>
      <c r="F19" s="73" t="s">
        <v>21</v>
      </c>
      <c r="G19" s="76">
        <v>1.68</v>
      </c>
      <c r="H19" s="73">
        <v>49</v>
      </c>
      <c r="I19" s="73">
        <f t="shared" si="1"/>
        <v>50</v>
      </c>
      <c r="J19" s="73">
        <v>453783</v>
      </c>
      <c r="K19" s="74"/>
      <c r="L19" s="62"/>
      <c r="M19" s="63"/>
    </row>
    <row r="20" spans="1:13" s="61" customFormat="1" ht="39" customHeight="1">
      <c r="A20" s="14">
        <f t="shared" si="0"/>
        <v>13</v>
      </c>
      <c r="B20" s="75">
        <v>2510067977</v>
      </c>
      <c r="C20" s="75" t="s">
        <v>25</v>
      </c>
      <c r="D20" s="73" t="s">
        <v>22</v>
      </c>
      <c r="E20" s="73" t="s">
        <v>26</v>
      </c>
      <c r="F20" s="73" t="s">
        <v>21</v>
      </c>
      <c r="G20" s="76">
        <v>1.68</v>
      </c>
      <c r="H20" s="73">
        <v>35</v>
      </c>
      <c r="I20" s="73">
        <f t="shared" si="1"/>
        <v>36</v>
      </c>
      <c r="J20" s="73">
        <v>453783</v>
      </c>
      <c r="K20" s="74"/>
      <c r="L20" s="62"/>
      <c r="M20" s="63"/>
    </row>
    <row r="21" spans="1:13" s="61" customFormat="1" ht="39" customHeight="1">
      <c r="A21" s="14">
        <f t="shared" si="0"/>
        <v>14</v>
      </c>
      <c r="B21" s="75">
        <v>2510067978</v>
      </c>
      <c r="C21" s="75" t="s">
        <v>25</v>
      </c>
      <c r="D21" s="73" t="s">
        <v>22</v>
      </c>
      <c r="E21" s="73" t="s">
        <v>26</v>
      </c>
      <c r="F21" s="73" t="s">
        <v>21</v>
      </c>
      <c r="G21" s="76">
        <v>1.68</v>
      </c>
      <c r="H21" s="73">
        <v>50</v>
      </c>
      <c r="I21" s="73">
        <f t="shared" si="1"/>
        <v>51</v>
      </c>
      <c r="J21" s="73">
        <v>453783</v>
      </c>
      <c r="K21" s="74"/>
      <c r="L21" s="62"/>
      <c r="M21" s="63"/>
    </row>
    <row r="22" spans="1:13" s="61" customFormat="1" ht="39" customHeight="1">
      <c r="A22" s="14">
        <f t="shared" si="0"/>
        <v>15</v>
      </c>
      <c r="B22" s="75">
        <v>2510067979</v>
      </c>
      <c r="C22" s="75" t="s">
        <v>25</v>
      </c>
      <c r="D22" s="73" t="s">
        <v>22</v>
      </c>
      <c r="E22" s="73" t="s">
        <v>26</v>
      </c>
      <c r="F22" s="73" t="s">
        <v>21</v>
      </c>
      <c r="G22" s="76">
        <v>1.68</v>
      </c>
      <c r="H22" s="73">
        <v>48</v>
      </c>
      <c r="I22" s="73">
        <f t="shared" si="1"/>
        <v>49</v>
      </c>
      <c r="J22" s="73">
        <v>453783</v>
      </c>
      <c r="K22" s="74"/>
      <c r="L22" s="62"/>
      <c r="M22" s="63"/>
    </row>
    <row r="23" spans="1:13" s="61" customFormat="1" ht="39" customHeight="1">
      <c r="A23" s="14">
        <f t="shared" si="0"/>
        <v>16</v>
      </c>
      <c r="B23" s="75">
        <v>2510067980</v>
      </c>
      <c r="C23" s="75" t="s">
        <v>25</v>
      </c>
      <c r="D23" s="73" t="s">
        <v>22</v>
      </c>
      <c r="E23" s="73" t="s">
        <v>26</v>
      </c>
      <c r="F23" s="73" t="s">
        <v>21</v>
      </c>
      <c r="G23" s="76">
        <v>1.68</v>
      </c>
      <c r="H23" s="73">
        <v>49</v>
      </c>
      <c r="I23" s="73">
        <f t="shared" si="1"/>
        <v>50</v>
      </c>
      <c r="J23" s="73">
        <v>453783</v>
      </c>
      <c r="K23" s="74"/>
      <c r="L23" s="62"/>
      <c r="M23" s="63"/>
    </row>
    <row r="24" spans="1:13" s="61" customFormat="1" ht="39" customHeight="1">
      <c r="A24" s="14">
        <f t="shared" si="0"/>
        <v>17</v>
      </c>
      <c r="B24" s="83">
        <v>2510067981</v>
      </c>
      <c r="C24" s="83" t="s">
        <v>25</v>
      </c>
      <c r="D24" s="84" t="s">
        <v>22</v>
      </c>
      <c r="E24" s="84" t="s">
        <v>26</v>
      </c>
      <c r="F24" s="84" t="s">
        <v>21</v>
      </c>
      <c r="G24" s="85">
        <v>1.68</v>
      </c>
      <c r="H24" s="84">
        <v>46</v>
      </c>
      <c r="I24" s="84">
        <f t="shared" si="1"/>
        <v>47</v>
      </c>
      <c r="J24" s="73">
        <v>453783</v>
      </c>
      <c r="K24" s="74"/>
      <c r="L24" s="62"/>
      <c r="M24" s="63"/>
    </row>
    <row r="25" spans="1:13" s="61" customFormat="1" ht="39" customHeight="1">
      <c r="A25" s="14">
        <f t="shared" si="0"/>
        <v>18</v>
      </c>
      <c r="B25" s="83">
        <v>2510067982</v>
      </c>
      <c r="C25" s="83" t="s">
        <v>25</v>
      </c>
      <c r="D25" s="84" t="s">
        <v>22</v>
      </c>
      <c r="E25" s="84" t="s">
        <v>26</v>
      </c>
      <c r="F25" s="84" t="s">
        <v>21</v>
      </c>
      <c r="G25" s="85">
        <v>1.68</v>
      </c>
      <c r="H25" s="84">
        <v>31</v>
      </c>
      <c r="I25" s="84">
        <f t="shared" si="1"/>
        <v>32</v>
      </c>
      <c r="J25" s="73">
        <v>453783</v>
      </c>
      <c r="K25" s="74"/>
      <c r="L25" s="62"/>
      <c r="M25" s="63"/>
    </row>
    <row r="26" spans="1:13" s="61" customFormat="1" ht="39" hidden="1" customHeight="1">
      <c r="A26" s="14">
        <f t="shared" si="0"/>
        <v>19</v>
      </c>
      <c r="B26" s="75"/>
      <c r="C26" s="75"/>
      <c r="D26" s="73"/>
      <c r="E26" s="73"/>
      <c r="F26" s="73"/>
      <c r="G26" s="76"/>
      <c r="H26" s="73"/>
      <c r="I26" s="73"/>
      <c r="J26" s="73"/>
      <c r="K26" s="74"/>
      <c r="L26" s="62"/>
      <c r="M26" s="63"/>
    </row>
    <row r="27" spans="1:13" s="61" customFormat="1" ht="39" hidden="1" customHeight="1">
      <c r="A27" s="14">
        <f t="shared" si="0"/>
        <v>20</v>
      </c>
      <c r="B27" s="75"/>
      <c r="C27" s="75"/>
      <c r="D27" s="73"/>
      <c r="E27" s="73"/>
      <c r="F27" s="73"/>
      <c r="G27" s="76"/>
      <c r="H27" s="73"/>
      <c r="I27" s="73"/>
      <c r="J27" s="73"/>
      <c r="K27" s="74"/>
      <c r="L27" s="62"/>
      <c r="M27" s="63"/>
    </row>
    <row r="28" spans="1:13" s="61" customFormat="1" ht="39" hidden="1" customHeight="1">
      <c r="A28" s="14">
        <f t="shared" si="0"/>
        <v>21</v>
      </c>
      <c r="B28" s="75"/>
      <c r="C28" s="75"/>
      <c r="D28" s="73"/>
      <c r="E28" s="73"/>
      <c r="F28" s="73"/>
      <c r="G28" s="76"/>
      <c r="H28" s="73"/>
      <c r="I28" s="73"/>
      <c r="J28" s="73"/>
      <c r="K28" s="74"/>
      <c r="L28" s="62"/>
      <c r="M28" s="63"/>
    </row>
    <row r="29" spans="1:13" s="61" customFormat="1" ht="39" hidden="1" customHeight="1">
      <c r="A29" s="14">
        <f t="shared" si="0"/>
        <v>22</v>
      </c>
      <c r="B29" s="75"/>
      <c r="C29" s="75"/>
      <c r="D29" s="73"/>
      <c r="E29" s="73"/>
      <c r="F29" s="73"/>
      <c r="G29" s="76"/>
      <c r="H29" s="73"/>
      <c r="I29" s="73"/>
      <c r="J29" s="73"/>
      <c r="K29" s="74"/>
      <c r="L29" s="62"/>
      <c r="M29" s="63"/>
    </row>
    <row r="30" spans="1:13" s="61" customFormat="1" ht="39" hidden="1" customHeight="1">
      <c r="A30" s="14">
        <f t="shared" si="0"/>
        <v>23</v>
      </c>
      <c r="B30" s="75"/>
      <c r="C30" s="75"/>
      <c r="D30" s="73"/>
      <c r="E30" s="73"/>
      <c r="F30" s="73"/>
      <c r="G30" s="76"/>
      <c r="H30" s="73"/>
      <c r="I30" s="73"/>
      <c r="J30" s="73"/>
      <c r="K30" s="74"/>
      <c r="L30" s="62"/>
      <c r="M30" s="63"/>
    </row>
    <row r="31" spans="1:13" s="61" customFormat="1" ht="39" hidden="1" customHeight="1">
      <c r="A31" s="14">
        <f t="shared" si="0"/>
        <v>24</v>
      </c>
      <c r="B31" s="75"/>
      <c r="C31" s="75"/>
      <c r="D31" s="73"/>
      <c r="E31" s="73"/>
      <c r="F31" s="73"/>
      <c r="G31" s="76"/>
      <c r="H31" s="73"/>
      <c r="I31" s="73"/>
      <c r="J31" s="73"/>
      <c r="K31" s="74"/>
      <c r="L31" s="62"/>
      <c r="M31" s="63"/>
    </row>
    <row r="32" spans="1:13" s="61" customFormat="1" ht="39" hidden="1" customHeight="1">
      <c r="A32" s="14">
        <f t="shared" si="0"/>
        <v>25</v>
      </c>
      <c r="B32" s="75"/>
      <c r="C32" s="75"/>
      <c r="D32" s="73"/>
      <c r="E32" s="73"/>
      <c r="F32" s="73"/>
      <c r="G32" s="76"/>
      <c r="H32" s="73"/>
      <c r="I32" s="73"/>
      <c r="J32" s="73"/>
      <c r="K32" s="74"/>
      <c r="L32" s="62"/>
      <c r="M32" s="63"/>
    </row>
    <row r="33" spans="1:13" s="61" customFormat="1" ht="39" hidden="1" customHeight="1">
      <c r="A33" s="14">
        <f t="shared" si="0"/>
        <v>26</v>
      </c>
      <c r="B33" s="75"/>
      <c r="C33" s="75"/>
      <c r="D33" s="73"/>
      <c r="E33" s="73"/>
      <c r="F33" s="73"/>
      <c r="G33" s="76"/>
      <c r="H33" s="73"/>
      <c r="I33" s="73"/>
      <c r="J33" s="73"/>
      <c r="K33" s="74"/>
      <c r="L33" s="62"/>
      <c r="M33" s="63"/>
    </row>
    <row r="34" spans="1:13" s="61" customFormat="1" ht="39" hidden="1" customHeight="1">
      <c r="A34" s="14">
        <f t="shared" si="0"/>
        <v>27</v>
      </c>
      <c r="B34" s="75"/>
      <c r="C34" s="75"/>
      <c r="D34" s="73"/>
      <c r="E34" s="73"/>
      <c r="F34" s="73"/>
      <c r="G34" s="76"/>
      <c r="H34" s="73"/>
      <c r="I34" s="73"/>
      <c r="J34" s="73"/>
      <c r="K34" s="74"/>
      <c r="L34" s="62"/>
      <c r="M34" s="63"/>
    </row>
    <row r="35" spans="1:13" s="61" customFormat="1" ht="39" hidden="1" customHeight="1">
      <c r="A35" s="14">
        <f t="shared" si="0"/>
        <v>28</v>
      </c>
      <c r="B35" s="75"/>
      <c r="C35" s="75"/>
      <c r="D35" s="73"/>
      <c r="E35" s="73"/>
      <c r="F35" s="73"/>
      <c r="G35" s="76"/>
      <c r="H35" s="73"/>
      <c r="I35" s="73"/>
      <c r="J35" s="73"/>
      <c r="K35" s="74"/>
      <c r="L35" s="62"/>
      <c r="M35" s="63"/>
    </row>
    <row r="36" spans="1:13" s="61" customFormat="1" ht="39" hidden="1" customHeight="1">
      <c r="A36" s="14">
        <f t="shared" si="0"/>
        <v>29</v>
      </c>
      <c r="B36" s="75"/>
      <c r="C36" s="75"/>
      <c r="D36" s="73"/>
      <c r="E36" s="73"/>
      <c r="F36" s="73"/>
      <c r="G36" s="76"/>
      <c r="H36" s="73"/>
      <c r="I36" s="73"/>
      <c r="J36" s="73"/>
      <c r="K36" s="74"/>
      <c r="L36" s="62"/>
      <c r="M36" s="63"/>
    </row>
    <row r="37" spans="1:13" s="61" customFormat="1" ht="39" hidden="1" customHeight="1">
      <c r="A37" s="14">
        <f t="shared" si="0"/>
        <v>30</v>
      </c>
      <c r="B37" s="75"/>
      <c r="C37" s="75"/>
      <c r="D37" s="73"/>
      <c r="E37" s="73"/>
      <c r="F37" s="73"/>
      <c r="G37" s="76"/>
      <c r="H37" s="73"/>
      <c r="I37" s="73"/>
      <c r="J37" s="73"/>
      <c r="K37" s="74"/>
      <c r="L37" s="62"/>
      <c r="M37" s="63"/>
    </row>
    <row r="38" spans="1:13" s="61" customFormat="1" ht="39" hidden="1" customHeight="1">
      <c r="A38" s="14">
        <f t="shared" si="0"/>
        <v>31</v>
      </c>
      <c r="B38" s="75"/>
      <c r="C38" s="75"/>
      <c r="D38" s="73"/>
      <c r="E38" s="73"/>
      <c r="F38" s="73"/>
      <c r="G38" s="76"/>
      <c r="H38" s="73"/>
      <c r="I38" s="73"/>
      <c r="J38" s="73"/>
      <c r="K38" s="64"/>
      <c r="L38" s="62"/>
      <c r="M38" s="63"/>
    </row>
    <row r="39" spans="1:13" s="61" customFormat="1" ht="39" hidden="1" customHeight="1">
      <c r="A39" s="14">
        <f t="shared" si="0"/>
        <v>32</v>
      </c>
      <c r="B39" s="31"/>
      <c r="C39" s="65"/>
      <c r="D39" s="30"/>
      <c r="E39" s="30"/>
      <c r="F39" s="30"/>
      <c r="G39" s="66"/>
      <c r="H39" s="31"/>
      <c r="I39" s="30"/>
      <c r="J39" s="30"/>
      <c r="K39" s="64" t="s">
        <v>19</v>
      </c>
      <c r="L39" s="62"/>
      <c r="M39" s="63"/>
    </row>
    <row r="40" spans="1:13" s="61" customFormat="1" ht="39" hidden="1" customHeight="1">
      <c r="A40" s="14">
        <f t="shared" si="0"/>
        <v>33</v>
      </c>
      <c r="B40" s="31"/>
      <c r="C40" s="65"/>
      <c r="D40" s="30"/>
      <c r="E40" s="30"/>
      <c r="F40" s="30"/>
      <c r="G40" s="66"/>
      <c r="H40" s="31"/>
      <c r="I40" s="30"/>
      <c r="J40" s="30"/>
      <c r="K40" s="64" t="s">
        <v>19</v>
      </c>
      <c r="L40" s="62"/>
      <c r="M40" s="63"/>
    </row>
    <row r="41" spans="1:13" s="61" customFormat="1" ht="39" hidden="1" customHeight="1">
      <c r="A41" s="14">
        <f t="shared" si="0"/>
        <v>34</v>
      </c>
      <c r="B41" s="31"/>
      <c r="C41" s="65"/>
      <c r="D41" s="30"/>
      <c r="E41" s="30"/>
      <c r="F41" s="30"/>
      <c r="G41" s="66"/>
      <c r="H41" s="31"/>
      <c r="I41" s="30"/>
      <c r="J41" s="30"/>
      <c r="K41" s="64" t="s">
        <v>19</v>
      </c>
      <c r="L41" s="62"/>
      <c r="M41" s="63"/>
    </row>
    <row r="42" spans="1:13" s="61" customFormat="1" ht="39" hidden="1" customHeight="1">
      <c r="A42" s="14">
        <f t="shared" si="0"/>
        <v>35</v>
      </c>
      <c r="B42" s="31"/>
      <c r="C42" s="65"/>
      <c r="D42" s="30"/>
      <c r="E42" s="30"/>
      <c r="F42" s="30"/>
      <c r="G42" s="66"/>
      <c r="H42" s="31"/>
      <c r="I42" s="30"/>
      <c r="J42" s="30"/>
      <c r="K42" s="64" t="s">
        <v>19</v>
      </c>
      <c r="L42" s="62"/>
      <c r="M42" s="63"/>
    </row>
    <row r="43" spans="1:13" s="61" customFormat="1" ht="39" hidden="1" customHeight="1">
      <c r="A43" s="14">
        <f t="shared" si="0"/>
        <v>36</v>
      </c>
      <c r="B43" s="31"/>
      <c r="C43" s="65"/>
      <c r="D43" s="30"/>
      <c r="E43" s="30"/>
      <c r="F43" s="30"/>
      <c r="G43" s="66"/>
      <c r="H43" s="31"/>
      <c r="I43" s="30"/>
      <c r="J43" s="30"/>
      <c r="K43" s="64" t="s">
        <v>19</v>
      </c>
      <c r="L43" s="62"/>
      <c r="M43" s="63"/>
    </row>
    <row r="44" spans="1:13" s="61" customFormat="1" ht="39" hidden="1" customHeight="1">
      <c r="A44" s="14">
        <f t="shared" si="0"/>
        <v>37</v>
      </c>
      <c r="B44" s="31"/>
      <c r="C44" s="65"/>
      <c r="D44" s="30"/>
      <c r="E44" s="30"/>
      <c r="F44" s="30"/>
      <c r="G44" s="66"/>
      <c r="H44" s="31"/>
      <c r="I44" s="30"/>
      <c r="J44" s="30"/>
      <c r="K44" s="64" t="s">
        <v>19</v>
      </c>
      <c r="L44" s="62"/>
      <c r="M44" s="63"/>
    </row>
    <row r="45" spans="1:13" s="61" customFormat="1" ht="39" hidden="1" customHeight="1">
      <c r="A45" s="14">
        <f t="shared" si="0"/>
        <v>38</v>
      </c>
      <c r="B45" s="31"/>
      <c r="C45" s="65"/>
      <c r="D45" s="30"/>
      <c r="E45" s="30"/>
      <c r="F45" s="30"/>
      <c r="G45" s="66"/>
      <c r="H45" s="31"/>
      <c r="I45" s="30"/>
      <c r="J45" s="30"/>
      <c r="K45" s="64" t="s">
        <v>19</v>
      </c>
      <c r="L45" s="62"/>
      <c r="M45" s="63"/>
    </row>
    <row r="46" spans="1:13" s="61" customFormat="1" ht="39" hidden="1" customHeight="1">
      <c r="A46" s="14">
        <f t="shared" si="0"/>
        <v>39</v>
      </c>
      <c r="B46" s="31"/>
      <c r="C46" s="65"/>
      <c r="D46" s="30"/>
      <c r="E46" s="30"/>
      <c r="F46" s="30"/>
      <c r="G46" s="66"/>
      <c r="H46" s="31"/>
      <c r="I46" s="30"/>
      <c r="J46" s="30"/>
      <c r="K46" s="64" t="s">
        <v>19</v>
      </c>
      <c r="L46" s="62"/>
      <c r="M46" s="63"/>
    </row>
    <row r="47" spans="1:13" s="61" customFormat="1" ht="39" hidden="1" customHeight="1">
      <c r="A47" s="14">
        <f t="shared" si="0"/>
        <v>40</v>
      </c>
      <c r="B47" s="31"/>
      <c r="C47" s="65"/>
      <c r="D47" s="30"/>
      <c r="E47" s="30"/>
      <c r="F47" s="30"/>
      <c r="G47" s="66"/>
      <c r="H47" s="31"/>
      <c r="I47" s="30"/>
      <c r="J47" s="30"/>
      <c r="K47" s="64" t="s">
        <v>19</v>
      </c>
      <c r="L47" s="62"/>
      <c r="M47" s="63"/>
    </row>
    <row r="48" spans="1:13" s="36" customFormat="1" ht="24.75" customHeight="1">
      <c r="A48" s="14"/>
      <c r="B48" s="38"/>
      <c r="C48" s="38"/>
      <c r="D48" s="37"/>
      <c r="E48" s="37"/>
      <c r="F48" s="8"/>
      <c r="G48" s="8"/>
      <c r="H48" s="40">
        <f>SUM(H8:H47)</f>
        <v>924</v>
      </c>
      <c r="I48" s="67">
        <f>SUM(I8:I47)</f>
        <v>942</v>
      </c>
      <c r="J48" s="37"/>
    </row>
    <row r="49" spans="1:12" ht="15.75" customHeight="1">
      <c r="A49" s="32"/>
      <c r="B49" s="32"/>
      <c r="C49" s="33"/>
      <c r="D49" s="32"/>
      <c r="E49" s="32"/>
      <c r="H49" s="34"/>
      <c r="I49" s="35"/>
      <c r="J49" s="32"/>
    </row>
    <row r="50" spans="1:12" ht="40.5" customHeight="1">
      <c r="A50" s="8"/>
      <c r="B50" s="8"/>
      <c r="C50" s="8"/>
      <c r="D50" s="8"/>
      <c r="E50" s="24"/>
      <c r="H50" s="8"/>
      <c r="I50" s="8"/>
      <c r="J50" s="8"/>
    </row>
    <row r="51" spans="1:12" ht="60" customHeight="1">
      <c r="A51" s="8"/>
      <c r="B51" s="8"/>
      <c r="C51" s="28" t="s">
        <v>3</v>
      </c>
      <c r="D51" s="41" t="s">
        <v>15</v>
      </c>
      <c r="E51" s="41" t="s">
        <v>11</v>
      </c>
      <c r="F51" s="41" t="s">
        <v>12</v>
      </c>
      <c r="G51" s="41" t="s">
        <v>13</v>
      </c>
      <c r="H51" s="27" t="s">
        <v>16</v>
      </c>
      <c r="I51" s="27" t="s">
        <v>4</v>
      </c>
      <c r="J51" s="28"/>
      <c r="L51" s="12"/>
    </row>
    <row r="52" spans="1:12" ht="41.25" customHeight="1">
      <c r="A52" s="8"/>
      <c r="B52" s="8"/>
      <c r="C52" s="75" t="s">
        <v>25</v>
      </c>
      <c r="D52" s="73" t="s">
        <v>22</v>
      </c>
      <c r="E52" s="73" t="s">
        <v>26</v>
      </c>
      <c r="F52" s="73" t="s">
        <v>21</v>
      </c>
      <c r="G52" s="76">
        <v>1.68</v>
      </c>
      <c r="H52" s="45">
        <f>COUNTIFS($G$8:$G$47,G52,$F$8:$F$47,F52,$E$8:$E$47,E52,$D$8:$D$47,D52,$C$8:$C$47,C52)</f>
        <v>14</v>
      </c>
      <c r="I52" s="45">
        <f>SUMIFS($H$8:$H$47,$G$8:$G$47,G52,$F$8:$F$47,F52,$E$8:$E$47,E52,$D$8:$D$47,D52,$C$8:$C$47,C52)</f>
        <v>615</v>
      </c>
      <c r="J52" s="43"/>
      <c r="L52" s="12"/>
    </row>
    <row r="53" spans="1:12" ht="41.25" customHeight="1">
      <c r="A53" s="8"/>
      <c r="B53" s="8"/>
      <c r="C53" s="75" t="s">
        <v>25</v>
      </c>
      <c r="D53" s="73" t="s">
        <v>22</v>
      </c>
      <c r="E53" s="73" t="s">
        <v>20</v>
      </c>
      <c r="F53" s="73" t="s">
        <v>21</v>
      </c>
      <c r="G53" s="76">
        <v>2.12</v>
      </c>
      <c r="H53" s="45">
        <f>COUNTIFS($G$8:$G$47,G53,$F$8:$F$47,F53,$E$8:$E$47,E53,$D$8:$D$47,D53,$C$8:$C$47,C53)</f>
        <v>4</v>
      </c>
      <c r="I53" s="45">
        <f>SUMIFS($H$8:$H$47,$G$8:$G$47,G53,$F$8:$F$47,F53,$E$8:$E$47,E53,$D$8:$D$47,D53,$C$8:$C$47,C53)</f>
        <v>309</v>
      </c>
      <c r="J53" s="43"/>
      <c r="L53" s="12"/>
    </row>
    <row r="54" spans="1:12" ht="41.25" hidden="1" customHeight="1">
      <c r="A54" s="8"/>
      <c r="B54" s="8"/>
      <c r="C54" s="70"/>
      <c r="D54" s="71"/>
      <c r="E54" s="71"/>
      <c r="F54" s="71"/>
      <c r="G54" s="72"/>
      <c r="H54" s="45">
        <f>COUNTIFS($G$8:$G$47,G54,$F$8:$F$47,F54,$E$8:$E$47,E54,$D$8:$D$47,D54,$C$8:$C$47,C54)</f>
        <v>0</v>
      </c>
      <c r="I54" s="45">
        <f>SUMIFS($H$8:$H$47,$G$8:$G$47,G54,$F$8:$F$47,F54,$E$8:$E$47,E54,$D$8:$D$47,D54,$C$8:$C$47,C54)</f>
        <v>0</v>
      </c>
      <c r="J54" s="44"/>
      <c r="L54" s="12"/>
    </row>
    <row r="55" spans="1:12" ht="41.25" customHeight="1">
      <c r="A55" s="8"/>
      <c r="B55" s="8"/>
      <c r="C55" s="51"/>
      <c r="D55" s="52"/>
      <c r="E55" s="53"/>
      <c r="F55" s="54"/>
      <c r="G55" s="54"/>
      <c r="H55" s="46">
        <f>SUM(H52:H54)</f>
        <v>18</v>
      </c>
      <c r="I55" s="46">
        <f>SUM(I52:I54)</f>
        <v>924</v>
      </c>
      <c r="J55" s="44"/>
      <c r="L55" s="12"/>
    </row>
    <row r="56" spans="1:12" ht="41.25" customHeight="1">
      <c r="A56" s="8"/>
      <c r="B56" s="8"/>
      <c r="C56" s="47"/>
      <c r="D56" s="48"/>
      <c r="E56" s="49"/>
      <c r="F56" s="50"/>
      <c r="G56" s="50"/>
      <c r="H56" s="42"/>
      <c r="I56" s="42"/>
      <c r="J56" s="44"/>
      <c r="L56" s="12"/>
    </row>
    <row r="57" spans="1:12" ht="60" customHeight="1">
      <c r="A57" s="8"/>
      <c r="B57" s="8"/>
      <c r="C57" s="28" t="s">
        <v>3</v>
      </c>
      <c r="D57" s="41" t="s">
        <v>15</v>
      </c>
      <c r="E57" s="41" t="s">
        <v>11</v>
      </c>
      <c r="F57" s="41" t="s">
        <v>12</v>
      </c>
      <c r="G57" s="41" t="s">
        <v>13</v>
      </c>
      <c r="H57" s="27" t="s">
        <v>16</v>
      </c>
      <c r="I57" s="27" t="s">
        <v>4</v>
      </c>
      <c r="J57" s="28" t="s">
        <v>6</v>
      </c>
      <c r="L57" s="12"/>
    </row>
    <row r="58" spans="1:12" ht="41.25" customHeight="1">
      <c r="A58" s="8"/>
      <c r="B58" s="8"/>
      <c r="C58" s="69" t="s">
        <v>25</v>
      </c>
      <c r="D58" s="81" t="s">
        <v>22</v>
      </c>
      <c r="E58" s="81" t="s">
        <v>20</v>
      </c>
      <c r="F58" s="81" t="s">
        <v>21</v>
      </c>
      <c r="G58" s="82">
        <v>2.12</v>
      </c>
      <c r="H58" s="45">
        <f>COUNTIFS($G$8:$G$47,G58,$F$8:$F$47,F58,$E$8:$E$47,E58,$D$8:$D$47,D58,$C$8:$C$47,C58,$J$8:$J$47,J58)</f>
        <v>4</v>
      </c>
      <c r="I58" s="45">
        <f>SUMIFS($H$8:$H$47,$G$8:$G$47,G58,$F$8:$F$47,F58,$E$8:$E$47,E58,$D$8:$D$47,D58,$C$8:$C$47,C58,$J$8:$J$47,J58)</f>
        <v>309</v>
      </c>
      <c r="J58" s="73">
        <v>453782</v>
      </c>
      <c r="L58" s="12"/>
    </row>
    <row r="59" spans="1:12" ht="41.25" customHeight="1">
      <c r="A59" s="8"/>
      <c r="B59" s="8"/>
      <c r="C59" s="83" t="s">
        <v>25</v>
      </c>
      <c r="D59" s="84" t="s">
        <v>22</v>
      </c>
      <c r="E59" s="84" t="s">
        <v>26</v>
      </c>
      <c r="F59" s="84" t="s">
        <v>21</v>
      </c>
      <c r="G59" s="85">
        <v>1.68</v>
      </c>
      <c r="H59" s="45">
        <f>COUNTIFS($G$8:$G$47,G59,$F$8:$F$47,F59,$E$8:$E$47,E59,$D$8:$D$47,D59,$C$8:$C$47,C59,$J$8:$J$47,J59)</f>
        <v>14</v>
      </c>
      <c r="I59" s="45">
        <f>SUMIFS($H$8:$H$47,$G$8:$G$47,G59,$F$8:$F$47,F59,$E$8:$E$47,E59,$D$8:$D$47,D59,$C$8:$C$47,C59,$J$8:$J$47,J59)</f>
        <v>615</v>
      </c>
      <c r="J59" s="73">
        <v>453783</v>
      </c>
      <c r="L59" s="12"/>
    </row>
    <row r="60" spans="1:12" ht="41.25" hidden="1" customHeight="1">
      <c r="A60" s="8"/>
      <c r="B60" s="8"/>
      <c r="C60" s="70"/>
      <c r="D60" s="71"/>
      <c r="E60" s="71"/>
      <c r="F60" s="71"/>
      <c r="G60" s="72"/>
      <c r="H60" s="45">
        <f>COUNTIFS($G$8:$G$47,G60,$F$8:$F$47,F60,$E$8:$E$47,E60,$D$8:$D$47,D60,$C$8:$C$47,C60,$J$8:$J$47,J60)</f>
        <v>0</v>
      </c>
      <c r="I60" s="45">
        <f>SUMIFS($H$8:$H$47,$G$8:$G$47,G60,$F$8:$F$47,F60,$E$8:$E$47,E60,$D$8:$D$47,D60,$C$8:$C$47,C60,$J$8:$J$47,J60)</f>
        <v>0</v>
      </c>
      <c r="J60" s="69"/>
      <c r="L60" s="12"/>
    </row>
    <row r="61" spans="1:12" ht="41.25" hidden="1" customHeight="1">
      <c r="A61" s="8"/>
      <c r="B61" s="8"/>
      <c r="C61" s="59">
        <v>20251001004</v>
      </c>
      <c r="D61" s="60" t="s">
        <v>22</v>
      </c>
      <c r="E61" s="60" t="s">
        <v>20</v>
      </c>
      <c r="F61" s="60" t="s">
        <v>21</v>
      </c>
      <c r="G61" s="58">
        <v>1.67</v>
      </c>
      <c r="H61" s="45">
        <f>COUNTIFS($G$8:$G$47,G61,$F$8:$F$47,F61,$E$8:$E$47,E61,$D$8:$D$47,D61,$C$8:$C$47,C61,$J$8:$J$47,J61)</f>
        <v>0</v>
      </c>
      <c r="I61" s="45">
        <f>SUMIFS($H$8:$H$47,$G$8:$G$47,G61,$F$8:$F$47,F61,$E$8:$E$47,E61,$D$8:$D$47,D61,$C$8:$C$47,C61,$J$8:$J$47,J61)</f>
        <v>0</v>
      </c>
      <c r="J61" s="68">
        <v>453782</v>
      </c>
      <c r="L61" s="12"/>
    </row>
    <row r="62" spans="1:12" ht="41.25" hidden="1" customHeight="1">
      <c r="A62" s="8"/>
      <c r="B62" s="8"/>
      <c r="C62" s="56"/>
      <c r="D62" s="57"/>
      <c r="E62" s="57"/>
      <c r="F62" s="57"/>
      <c r="G62" s="58"/>
      <c r="H62" s="45"/>
      <c r="I62" s="45"/>
      <c r="J62" s="55"/>
      <c r="L62" s="12"/>
    </row>
    <row r="63" spans="1:12" ht="33.75" customHeight="1">
      <c r="A63" s="8"/>
      <c r="B63" s="8"/>
      <c r="C63" s="25"/>
      <c r="D63" s="25"/>
      <c r="E63" s="26"/>
      <c r="H63" s="39">
        <f>SUM(H58:H62)</f>
        <v>18</v>
      </c>
      <c r="I63" s="39">
        <f>SUM(I58:I62)</f>
        <v>924</v>
      </c>
      <c r="J63" s="25"/>
    </row>
    <row r="65" spans="3:10">
      <c r="F65" s="16"/>
      <c r="G65" s="16"/>
    </row>
    <row r="66" spans="3:10">
      <c r="F66" s="16"/>
      <c r="G66" s="16"/>
    </row>
    <row r="67" spans="3:10" ht="23.25">
      <c r="C67" s="16"/>
      <c r="D67" s="16"/>
      <c r="E67" s="17"/>
      <c r="F67" s="13"/>
      <c r="G67" s="13"/>
      <c r="H67" s="16"/>
      <c r="I67" s="16"/>
      <c r="J67" s="16"/>
    </row>
    <row r="68" spans="3:10">
      <c r="C68" s="16"/>
      <c r="D68" s="16"/>
      <c r="E68" s="17"/>
      <c r="F68" s="16"/>
      <c r="G68" s="16"/>
      <c r="H68" s="16"/>
      <c r="I68" s="16"/>
      <c r="J68" s="16"/>
    </row>
    <row r="69" spans="3:10" ht="23.25">
      <c r="C69" s="16"/>
      <c r="D69" s="13"/>
      <c r="E69" s="13"/>
      <c r="F69" s="16"/>
      <c r="G69" s="16"/>
      <c r="H69" s="13"/>
      <c r="I69" s="13"/>
      <c r="J69" s="16"/>
    </row>
    <row r="70" spans="3:10">
      <c r="C70" s="16"/>
      <c r="D70" s="16"/>
      <c r="E70" s="17"/>
      <c r="F70" s="16"/>
      <c r="G70" s="16"/>
      <c r="H70" s="16"/>
      <c r="I70" s="16"/>
      <c r="J70" s="16"/>
    </row>
    <row r="71" spans="3:10">
      <c r="C71" s="16"/>
      <c r="D71" s="16"/>
      <c r="E71" s="17"/>
      <c r="F71" s="16"/>
      <c r="G71" s="16"/>
      <c r="H71" s="16"/>
      <c r="I71" s="16"/>
      <c r="J71" s="16"/>
    </row>
    <row r="72" spans="3:10">
      <c r="C72" s="16"/>
      <c r="D72" s="16"/>
      <c r="E72" s="17"/>
      <c r="F72" s="16"/>
      <c r="G72" s="16"/>
      <c r="H72" s="16"/>
      <c r="I72" s="16"/>
      <c r="J72" s="16"/>
    </row>
    <row r="73" spans="3:10">
      <c r="C73" s="16"/>
      <c r="D73" s="16"/>
      <c r="E73" s="17"/>
      <c r="H73" s="16"/>
      <c r="I73" s="16"/>
      <c r="J73" s="16"/>
    </row>
    <row r="74" spans="3:10">
      <c r="C74" s="16"/>
      <c r="D74" s="16"/>
      <c r="E74" s="17"/>
      <c r="H74" s="16"/>
      <c r="I74" s="16"/>
      <c r="J74" s="16"/>
    </row>
  </sheetData>
  <autoFilter ref="A7:J7" xr:uid="{00000000-0009-0000-0000-000000000000}">
    <sortState xmlns:xlrd2="http://schemas.microsoft.com/office/spreadsheetml/2017/richdata2" ref="A8:J44">
      <sortCondition ref="B7:B19"/>
    </sortState>
  </autoFilter>
  <mergeCells count="4">
    <mergeCell ref="A1:J1"/>
    <mergeCell ref="A2:J2"/>
    <mergeCell ref="A3:J3"/>
    <mergeCell ref="A4:J4"/>
  </mergeCells>
  <printOptions horizontalCentered="1"/>
  <pageMargins left="0.25" right="0.25" top="0.75" bottom="0.75" header="0.3" footer="0.3"/>
  <pageSetup paperSize="9" scale="40" fitToHeight="0" orientation="portrait" r:id="rId1"/>
  <headerFooter>
    <oddFooter>&amp;LS-01-010  Phiên bản 版本：02&amp;C第 &amp;P 頁，共 &amp;N 頁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TỔNG</vt:lpstr>
      <vt:lpstr>TỔNG!Print_Area</vt:lpstr>
      <vt:lpstr>TỔNG!Print_Titles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NLinh</cp:lastModifiedBy>
  <cp:lastPrinted>2025-11-29T02:33:26Z</cp:lastPrinted>
  <dcterms:created xsi:type="dcterms:W3CDTF">2023-03-04T07:27:43Z</dcterms:created>
  <dcterms:modified xsi:type="dcterms:W3CDTF">2025-11-29T06:48:51Z</dcterms:modified>
</cp:coreProperties>
</file>