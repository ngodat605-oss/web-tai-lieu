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/>
  <mc:AlternateContent xmlns:mc="http://schemas.openxmlformats.org/markup-compatibility/2006">
    <mc:Choice Requires="x15">
      <x15ac:absPath xmlns:x15ac="http://schemas.microsoft.com/office/spreadsheetml/2010/11/ac" url="D:\品保资料\体系资料\体系\体系资料\体系文件\越南体系新文件\四級\ISO9001表單\"/>
    </mc:Choice>
  </mc:AlternateContent>
  <xr:revisionPtr revIDLastSave="0" documentId="13_ncr:1_{90CAE8C7-E4CC-4652-82E8-329A361AA21F}" xr6:coauthVersionLast="47" xr6:coauthVersionMax="47" xr10:uidLastSave="{00000000-0000-0000-0000-000000000000}"/>
  <bookViews>
    <workbookView xWindow="-120" yWindow="-120" windowWidth="20730" windowHeight="11160" tabRatio="688" xr2:uid="{00000000-000D-0000-FFFF-FFFF00000000}"/>
  </bookViews>
  <sheets>
    <sheet name="MF375(FQC)S.供应商月综合质量评估" sheetId="140" r:id="rId1"/>
  </sheets>
  <calcPr calcId="181029"/>
</workbook>
</file>

<file path=xl/calcChain.xml><?xml version="1.0" encoding="utf-8"?>
<calcChain xmlns="http://schemas.openxmlformats.org/spreadsheetml/2006/main">
  <c r="K13" i="140" l="1"/>
  <c r="K14" i="140"/>
  <c r="K15" i="140"/>
  <c r="K16" i="140"/>
  <c r="K17" i="140"/>
  <c r="K10" i="140"/>
  <c r="K11" i="140"/>
  <c r="K12" i="140"/>
  <c r="K53" i="140"/>
  <c r="K54" i="140" l="1"/>
  <c r="K52" i="140"/>
  <c r="K51" i="140"/>
  <c r="K50" i="140"/>
  <c r="K49" i="140"/>
  <c r="K48" i="140"/>
  <c r="K47" i="140"/>
  <c r="K46" i="140"/>
</calcChain>
</file>

<file path=xl/sharedStrings.xml><?xml version="1.0" encoding="utf-8"?>
<sst xmlns="http://schemas.openxmlformats.org/spreadsheetml/2006/main" count="143" uniqueCount="96">
  <si>
    <t>耐落</t>
  </si>
  <si>
    <r>
      <rPr>
        <sz val="18"/>
        <rFont val="SimSun"/>
        <charset val="134"/>
      </rPr>
      <t>上海格琳电子有限公司</t>
    </r>
  </si>
  <si>
    <t>SHANGHAI GERLENG ELECTRONIC CO.,LTD</t>
  </si>
  <si>
    <r>
      <rPr>
        <sz val="10"/>
        <rFont val="SimSun"/>
        <charset val="134"/>
      </rPr>
      <t>编号</t>
    </r>
  </si>
  <si>
    <r>
      <rPr>
        <sz val="10"/>
        <rFont val="SimSun"/>
        <charset val="134"/>
      </rPr>
      <t>供应商　　名　称</t>
    </r>
  </si>
  <si>
    <r>
      <rPr>
        <sz val="10"/>
        <rFont val="SimSun"/>
        <charset val="134"/>
      </rPr>
      <t>主要产品</t>
    </r>
  </si>
  <si>
    <r>
      <rPr>
        <sz val="10"/>
        <rFont val="SimSun"/>
        <charset val="134"/>
      </rPr>
      <t>质量</t>
    </r>
    <r>
      <rPr>
        <sz val="10"/>
        <rFont val="Arial"/>
        <family val="2"/>
      </rPr>
      <t>(50</t>
    </r>
    <r>
      <rPr>
        <sz val="10"/>
        <rFont val="SimSun"/>
        <charset val="134"/>
      </rPr>
      <t>分</t>
    </r>
    <r>
      <rPr>
        <sz val="10"/>
        <rFont val="Arial"/>
        <family val="2"/>
      </rPr>
      <t>)</t>
    </r>
  </si>
  <si>
    <r>
      <t>GP</t>
    </r>
    <r>
      <rPr>
        <sz val="10"/>
        <rFont val="SimSun"/>
        <charset val="134"/>
      </rPr>
      <t>评分</t>
    </r>
    <r>
      <rPr>
        <sz val="10"/>
        <rFont val="Arial"/>
        <family val="2"/>
      </rPr>
      <t>(10</t>
    </r>
    <r>
      <rPr>
        <sz val="10"/>
        <rFont val="SimSun"/>
        <charset val="134"/>
      </rPr>
      <t>分</t>
    </r>
    <r>
      <rPr>
        <sz val="10"/>
        <rFont val="Arial"/>
        <family val="2"/>
      </rPr>
      <t>)</t>
    </r>
  </si>
  <si>
    <r>
      <rPr>
        <sz val="10"/>
        <rFont val="SimSun"/>
        <charset val="134"/>
      </rPr>
      <t>配合度</t>
    </r>
    <r>
      <rPr>
        <sz val="10"/>
        <rFont val="Arial"/>
        <family val="2"/>
      </rPr>
      <t>(40</t>
    </r>
    <r>
      <rPr>
        <sz val="10"/>
        <rFont val="SimSun"/>
        <charset val="134"/>
      </rPr>
      <t>分</t>
    </r>
    <r>
      <rPr>
        <sz val="10"/>
        <rFont val="Arial"/>
        <family val="2"/>
      </rPr>
      <t>)</t>
    </r>
  </si>
  <si>
    <r>
      <rPr>
        <sz val="10"/>
        <rFont val="SimSun"/>
        <charset val="134"/>
      </rPr>
      <t>总分</t>
    </r>
  </si>
  <si>
    <r>
      <rPr>
        <sz val="10"/>
        <rFont val="SimSun"/>
        <charset val="134"/>
      </rPr>
      <t>评定　　等级</t>
    </r>
  </si>
  <si>
    <r>
      <rPr>
        <sz val="10"/>
        <rFont val="SimSun"/>
        <charset val="134"/>
      </rPr>
      <t>批次合格率</t>
    </r>
    <r>
      <rPr>
        <sz val="10"/>
        <rFont val="Arial"/>
        <family val="2"/>
      </rPr>
      <t>%</t>
    </r>
  </si>
  <si>
    <r>
      <rPr>
        <sz val="10"/>
        <rFont val="SimSun"/>
        <charset val="134"/>
      </rPr>
      <t>批次合格率</t>
    </r>
    <r>
      <rPr>
        <sz val="10"/>
        <rFont val="Arial"/>
        <family val="2"/>
      </rPr>
      <t xml:space="preserve">
(25</t>
    </r>
    <r>
      <rPr>
        <sz val="10"/>
        <rFont val="SimSun"/>
        <charset val="134"/>
      </rPr>
      <t>分</t>
    </r>
    <r>
      <rPr>
        <sz val="10"/>
        <rFont val="Arial"/>
        <family val="2"/>
      </rPr>
      <t>)</t>
    </r>
  </si>
  <si>
    <r>
      <rPr>
        <sz val="10"/>
        <rFont val="SimSun"/>
        <charset val="134"/>
      </rPr>
      <t>制程</t>
    </r>
    <r>
      <rPr>
        <sz val="10"/>
        <rFont val="Arial"/>
        <family val="2"/>
      </rPr>
      <t>PPM</t>
    </r>
    <r>
      <rPr>
        <sz val="10"/>
        <rFont val="SimSun"/>
        <charset val="134"/>
      </rPr>
      <t>值</t>
    </r>
    <r>
      <rPr>
        <sz val="10"/>
        <rFont val="Arial"/>
        <family val="2"/>
      </rPr>
      <t>(25</t>
    </r>
    <r>
      <rPr>
        <sz val="10"/>
        <rFont val="SimSun"/>
        <charset val="134"/>
      </rPr>
      <t>分</t>
    </r>
    <r>
      <rPr>
        <sz val="10"/>
        <rFont val="Arial"/>
        <family val="2"/>
      </rPr>
      <t>)</t>
    </r>
  </si>
  <si>
    <r>
      <t>GP</t>
    </r>
    <r>
      <rPr>
        <sz val="10"/>
        <rFont val="SimSun"/>
        <charset val="134"/>
      </rPr>
      <t>评分</t>
    </r>
    <r>
      <rPr>
        <sz val="10"/>
        <rFont val="Arial"/>
        <family val="2"/>
      </rPr>
      <t xml:space="preserve">
(10</t>
    </r>
    <r>
      <rPr>
        <sz val="10"/>
        <rFont val="SimSun"/>
        <charset val="134"/>
      </rPr>
      <t>分</t>
    </r>
    <r>
      <rPr>
        <sz val="10"/>
        <rFont val="Arial"/>
        <family val="2"/>
      </rPr>
      <t>)</t>
    </r>
  </si>
  <si>
    <r>
      <rPr>
        <sz val="10"/>
        <rFont val="SimSun"/>
        <charset val="134"/>
      </rPr>
      <t>交货及时率</t>
    </r>
    <r>
      <rPr>
        <sz val="10"/>
        <rFont val="Arial"/>
        <family val="2"/>
      </rPr>
      <t xml:space="preserve">
(20</t>
    </r>
    <r>
      <rPr>
        <sz val="10"/>
        <rFont val="SimSun"/>
        <charset val="134"/>
      </rPr>
      <t>分</t>
    </r>
    <r>
      <rPr>
        <sz val="10"/>
        <rFont val="Arial"/>
        <family val="2"/>
      </rPr>
      <t>)</t>
    </r>
  </si>
  <si>
    <r>
      <rPr>
        <sz val="10"/>
        <rFont val="SimSun"/>
        <charset val="134"/>
      </rPr>
      <t>服务态度</t>
    </r>
    <r>
      <rPr>
        <sz val="10"/>
        <rFont val="Arial"/>
        <family val="2"/>
      </rPr>
      <t xml:space="preserve">
(5</t>
    </r>
    <r>
      <rPr>
        <sz val="10"/>
        <rFont val="SimSun"/>
        <charset val="134"/>
      </rPr>
      <t>分</t>
    </r>
    <r>
      <rPr>
        <sz val="10"/>
        <rFont val="Arial"/>
        <family val="2"/>
      </rPr>
      <t>)</t>
    </r>
  </si>
  <si>
    <r>
      <rPr>
        <sz val="10"/>
        <rFont val="SimSun"/>
        <charset val="134"/>
      </rPr>
      <t>文件回复状况</t>
    </r>
    <r>
      <rPr>
        <sz val="10"/>
        <rFont val="Arial"/>
        <family val="2"/>
      </rPr>
      <t xml:space="preserve">
(5</t>
    </r>
    <r>
      <rPr>
        <sz val="10"/>
        <rFont val="SimSun"/>
        <charset val="134"/>
      </rPr>
      <t>分</t>
    </r>
    <r>
      <rPr>
        <sz val="10"/>
        <rFont val="Arial"/>
        <family val="2"/>
      </rPr>
      <t>)</t>
    </r>
  </si>
  <si>
    <r>
      <rPr>
        <sz val="10"/>
        <rFont val="SimSun"/>
        <charset val="134"/>
      </rPr>
      <t>质量改善状况</t>
    </r>
    <r>
      <rPr>
        <sz val="10"/>
        <rFont val="Arial"/>
        <family val="2"/>
      </rPr>
      <t xml:space="preserve">
(10</t>
    </r>
    <r>
      <rPr>
        <sz val="10"/>
        <rFont val="SimSun"/>
        <charset val="134"/>
      </rPr>
      <t>分</t>
    </r>
    <r>
      <rPr>
        <sz val="10"/>
        <rFont val="Arial"/>
        <family val="2"/>
      </rPr>
      <t>)</t>
    </r>
  </si>
  <si>
    <t xml:space="preserve"> </t>
  </si>
  <si>
    <t>A048</t>
  </si>
  <si>
    <t>N368</t>
  </si>
  <si>
    <t>N383</t>
  </si>
  <si>
    <t>A040</t>
  </si>
  <si>
    <r>
      <rPr>
        <sz val="10"/>
        <rFont val="SimSun"/>
        <charset val="134"/>
      </rPr>
      <t>安泰</t>
    </r>
  </si>
  <si>
    <r>
      <rPr>
        <sz val="10"/>
        <rFont val="SimSun"/>
        <charset val="134"/>
      </rPr>
      <t>大盛</t>
    </r>
  </si>
  <si>
    <r>
      <rPr>
        <sz val="10"/>
        <rFont val="SimSun"/>
        <charset val="134"/>
      </rPr>
      <t>耐落</t>
    </r>
  </si>
  <si>
    <r>
      <rPr>
        <sz val="10"/>
        <rFont val="SimSun"/>
        <charset val="134"/>
      </rPr>
      <t>启阳</t>
    </r>
  </si>
  <si>
    <r>
      <rPr>
        <sz val="10"/>
        <rFont val="SimSun"/>
        <charset val="134"/>
      </rPr>
      <t>特兴哲</t>
    </r>
  </si>
  <si>
    <t>AT</t>
  </si>
  <si>
    <r>
      <t>S.</t>
    </r>
    <r>
      <rPr>
        <u/>
        <sz val="20"/>
        <rFont val="SimSun"/>
        <charset val="134"/>
      </rPr>
      <t>供应商月综合质量评估</t>
    </r>
  </si>
  <si>
    <r>
      <t>S-1.</t>
    </r>
    <r>
      <rPr>
        <sz val="12"/>
        <rFont val="SimSun"/>
        <charset val="134"/>
      </rPr>
      <t>合格供应商</t>
    </r>
  </si>
  <si>
    <t>A025</t>
  </si>
  <si>
    <t>大盛</t>
  </si>
  <si>
    <t>电镀ZN</t>
  </si>
  <si>
    <t>安泰</t>
  </si>
  <si>
    <t>点防松胶</t>
  </si>
  <si>
    <r>
      <rPr>
        <sz val="10"/>
        <rFont val="SimSun"/>
        <charset val="134"/>
      </rPr>
      <t>厂</t>
    </r>
    <r>
      <rPr>
        <sz val="10"/>
        <rFont val="Arial"/>
        <family val="2"/>
      </rPr>
      <t xml:space="preserve"> </t>
    </r>
    <r>
      <rPr>
        <sz val="10"/>
        <rFont val="SimSun"/>
        <charset val="134"/>
      </rPr>
      <t>商</t>
    </r>
  </si>
  <si>
    <r>
      <rPr>
        <sz val="10"/>
        <rFont val="SimSun"/>
        <charset val="134"/>
      </rPr>
      <t>总评分</t>
    </r>
  </si>
  <si>
    <r>
      <t>不良率</t>
    </r>
    <r>
      <rPr>
        <sz val="10"/>
        <rFont val="Arial"/>
        <family val="2"/>
      </rPr>
      <t>%</t>
    </r>
  </si>
  <si>
    <r>
      <t>S-2.</t>
    </r>
    <r>
      <rPr>
        <sz val="12"/>
        <rFont val="SimSun"/>
        <charset val="134"/>
      </rPr>
      <t>不合格供应商</t>
    </r>
  </si>
  <si>
    <t>备注</t>
  </si>
  <si>
    <r>
      <rPr>
        <sz val="10"/>
        <rFont val="SimSun"/>
        <charset val="134"/>
      </rPr>
      <t>钛宏</t>
    </r>
  </si>
  <si>
    <r>
      <rPr>
        <sz val="10"/>
        <rFont val="SimSun"/>
        <charset val="134"/>
      </rPr>
      <t>奥瑞斯</t>
    </r>
  </si>
  <si>
    <r>
      <rPr>
        <sz val="10"/>
        <rFont val="SimSun"/>
        <charset val="134"/>
      </rPr>
      <t>电镀</t>
    </r>
    <r>
      <rPr>
        <sz val="10"/>
        <rFont val="Arial"/>
        <family val="2"/>
      </rPr>
      <t>ZN</t>
    </r>
  </si>
  <si>
    <t>中腾</t>
    <phoneticPr fontId="4" type="noConversion"/>
  </si>
  <si>
    <t>冉裕</t>
    <phoneticPr fontId="4" type="noConversion"/>
  </si>
  <si>
    <t>巧蹴</t>
    <phoneticPr fontId="4" type="noConversion"/>
  </si>
  <si>
    <t>\</t>
    <phoneticPr fontId="5" type="noConversion"/>
  </si>
  <si>
    <t>走舸</t>
    <phoneticPr fontId="5" type="noConversion"/>
  </si>
  <si>
    <r>
      <rPr>
        <sz val="10"/>
        <rFont val="SimSun"/>
        <charset val="134"/>
      </rPr>
      <t>热处理厂</t>
    </r>
  </si>
  <si>
    <r>
      <rPr>
        <sz val="10"/>
        <rFont val="SimSun"/>
        <charset val="134"/>
      </rPr>
      <t>电镀</t>
    </r>
    <r>
      <rPr>
        <sz val="10"/>
        <rFont val="Arial"/>
        <family val="2"/>
      </rPr>
      <t>NI</t>
    </r>
  </si>
  <si>
    <r>
      <rPr>
        <sz val="10"/>
        <rFont val="SimSun"/>
        <charset val="134"/>
      </rPr>
      <t>电镀</t>
    </r>
    <r>
      <rPr>
        <sz val="10"/>
        <rFont val="Arial"/>
        <family val="2"/>
      </rPr>
      <t>BNI</t>
    </r>
  </si>
  <si>
    <t>A</t>
    <phoneticPr fontId="4" type="noConversion"/>
  </si>
  <si>
    <t>A015</t>
    <phoneticPr fontId="4" type="noConversion"/>
  </si>
  <si>
    <t>A037</t>
    <phoneticPr fontId="4" type="noConversion"/>
  </si>
  <si>
    <t>A</t>
    <phoneticPr fontId="5" type="noConversion"/>
  </si>
  <si>
    <r>
      <t>2024</t>
    </r>
    <r>
      <rPr>
        <sz val="14"/>
        <rFont val="SimSun"/>
        <charset val="134"/>
      </rPr>
      <t>年</t>
    </r>
    <r>
      <rPr>
        <sz val="14"/>
        <rFont val="Arial"/>
        <family val="2"/>
      </rPr>
      <t>06</t>
    </r>
    <r>
      <rPr>
        <sz val="14"/>
        <rFont val="SimSun"/>
        <charset val="134"/>
      </rPr>
      <t>月份供应商月综合质量评估</t>
    </r>
    <phoneticPr fontId="5" type="noConversion"/>
  </si>
  <si>
    <t>绿叶</t>
    <phoneticPr fontId="5" type="noConversion"/>
  </si>
  <si>
    <t>N922</t>
    <phoneticPr fontId="5" type="noConversion"/>
  </si>
  <si>
    <t>A049</t>
    <phoneticPr fontId="4" type="noConversion"/>
  </si>
  <si>
    <t>B</t>
    <phoneticPr fontId="4" type="noConversion"/>
  </si>
  <si>
    <t>B</t>
    <phoneticPr fontId="5" type="noConversion"/>
  </si>
  <si>
    <t>A042-1</t>
    <phoneticPr fontId="4" type="noConversion"/>
  </si>
  <si>
    <t>A028-2</t>
    <phoneticPr fontId="4" type="noConversion"/>
  </si>
  <si>
    <t>电镀电泳</t>
    <phoneticPr fontId="4" type="noConversion"/>
  </si>
  <si>
    <t>兴欣</t>
    <phoneticPr fontId="5" type="noConversion"/>
  </si>
  <si>
    <t xml:space="preserve"> </t>
    <phoneticPr fontId="5" type="noConversion"/>
  </si>
  <si>
    <t>A046</t>
    <phoneticPr fontId="5" type="noConversion"/>
  </si>
  <si>
    <r>
      <t>2024</t>
    </r>
    <r>
      <rPr>
        <sz val="14"/>
        <rFont val="SimSun"/>
        <charset val="134"/>
      </rPr>
      <t>年</t>
    </r>
    <r>
      <rPr>
        <sz val="14"/>
        <rFont val="Arial"/>
        <family val="2"/>
      </rPr>
      <t>07</t>
    </r>
    <r>
      <rPr>
        <sz val="14"/>
        <rFont val="SimSun"/>
        <charset val="134"/>
      </rPr>
      <t>月份供应商月综合质量评估</t>
    </r>
    <phoneticPr fontId="5" type="noConversion"/>
  </si>
  <si>
    <t>巧蹴</t>
    <phoneticPr fontId="5" type="noConversion"/>
  </si>
  <si>
    <t>青哲</t>
    <phoneticPr fontId="5" type="noConversion"/>
  </si>
  <si>
    <t>不锈钢热处理</t>
    <phoneticPr fontId="5" type="noConversion"/>
  </si>
  <si>
    <t>A040-1</t>
    <phoneticPr fontId="5" type="noConversion"/>
  </si>
  <si>
    <t>永哲</t>
    <phoneticPr fontId="5" type="noConversion"/>
  </si>
  <si>
    <t>热处理</t>
    <phoneticPr fontId="5" type="noConversion"/>
  </si>
  <si>
    <t>中腾</t>
    <phoneticPr fontId="5" type="noConversion"/>
  </si>
  <si>
    <t>电镀NI</t>
    <phoneticPr fontId="5" type="noConversion"/>
  </si>
  <si>
    <t>A</t>
    <phoneticPr fontId="4" type="noConversion"/>
  </si>
  <si>
    <t>A049</t>
    <phoneticPr fontId="5" type="noConversion"/>
  </si>
  <si>
    <t>中腾</t>
    <phoneticPr fontId="5" type="noConversion"/>
  </si>
  <si>
    <t>电镀锌镍合金</t>
    <phoneticPr fontId="5" type="noConversion"/>
  </si>
  <si>
    <t>B</t>
    <phoneticPr fontId="4" type="noConversion"/>
  </si>
  <si>
    <t>A028-2</t>
    <phoneticPr fontId="5" type="noConversion"/>
  </si>
  <si>
    <t>巧蹴</t>
    <phoneticPr fontId="5" type="noConversion"/>
  </si>
  <si>
    <t>电泳</t>
    <phoneticPr fontId="5" type="noConversion"/>
  </si>
  <si>
    <t>A030</t>
    <phoneticPr fontId="5" type="noConversion"/>
  </si>
  <si>
    <t>兴欣</t>
    <phoneticPr fontId="5" type="noConversion"/>
  </si>
  <si>
    <t>PVD</t>
    <phoneticPr fontId="5" type="noConversion"/>
  </si>
  <si>
    <t>MF375</t>
    <phoneticPr fontId="5" type="noConversion"/>
  </si>
  <si>
    <r>
      <t>制表：</t>
    </r>
    <r>
      <rPr>
        <sz val="12"/>
        <rFont val="宋体"/>
        <family val="3"/>
        <charset val="134"/>
      </rPr>
      <t>陈玉平</t>
    </r>
    <phoneticPr fontId="5" type="noConversion"/>
  </si>
  <si>
    <t>审核：方长华</t>
    <phoneticPr fontId="5" type="noConversion"/>
  </si>
  <si>
    <t>日期：2024.8.1</t>
    <phoneticPr fontId="5" type="noConversion"/>
  </si>
  <si>
    <t>MF375</t>
    <phoneticPr fontId="5" type="noConversion"/>
  </si>
  <si>
    <t>格琳电子有限公司</t>
    <phoneticPr fontId="5" type="noConversion"/>
  </si>
  <si>
    <t xml:space="preserve"> GERLENG ELECTRONIC CO.,LTD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</si>
</sst>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 [$￥-804]* #,##0_ ;_ [$￥-804]* \-#,##0_ ;_ [$￥-804]* &quot;-&quot;??_ ;_ @_ "/>
    <numFmt numFmtId="177" formatCode="0.00_ "/>
    <numFmt numFmtId="178" formatCode="0.0_ "/>
  </numFmts>
  <fonts count="27">
    <font>
      <sz val="12"/>
      <name val="新細明體"/>
      <family val="1"/>
      <charset val="134"/>
    </font>
    <font>
      <u/>
      <sz val="20"/>
      <name val="Arial"/>
      <family val="2"/>
    </font>
    <font>
      <sz val="10"/>
      <name val="Arial"/>
      <family val="2"/>
    </font>
    <font>
      <sz val="10"/>
      <name val="SimSun"/>
      <charset val="134"/>
    </font>
    <font>
      <sz val="9"/>
      <name val="宋体"/>
      <family val="3"/>
      <charset val="134"/>
    </font>
    <font>
      <sz val="9"/>
      <name val="新細明體"/>
      <family val="1"/>
      <charset val="134"/>
    </font>
    <font>
      <sz val="12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0"/>
      <name val="宋体"/>
      <family val="3"/>
      <charset val="134"/>
    </font>
    <font>
      <sz val="12"/>
      <name val="SimSun"/>
      <charset val="134"/>
    </font>
    <font>
      <u/>
      <sz val="20"/>
      <name val="SimSun"/>
      <charset val="134"/>
    </font>
    <font>
      <sz val="12"/>
      <name val="宋体"/>
      <family val="3"/>
      <charset val="134"/>
    </font>
    <font>
      <sz val="10"/>
      <color indexed="8"/>
      <name val="MS Sans Serif"/>
      <family val="2"/>
    </font>
    <font>
      <sz val="10"/>
      <name val="Helv"/>
      <family val="2"/>
    </font>
    <font>
      <sz val="12"/>
      <color indexed="8"/>
      <name val="新細明體"/>
      <family val="1"/>
      <charset val="134"/>
    </font>
    <font>
      <sz val="18"/>
      <name val="SimSun"/>
      <charset val="134"/>
    </font>
    <font>
      <sz val="14"/>
      <name val="SimSun"/>
      <charset val="134"/>
    </font>
    <font>
      <sz val="12"/>
      <name val="新細明體"/>
      <family val="1"/>
      <charset val="134"/>
    </font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theme="1"/>
      <name val="宋体"/>
      <family val="3"/>
      <charset val="134"/>
      <scheme val="minor"/>
    </font>
    <font>
      <sz val="12"/>
      <color rgb="FFFF0000"/>
      <name val="新細明體"/>
      <family val="1"/>
      <charset val="136"/>
    </font>
    <font>
      <sz val="10"/>
      <name val="新細明體"/>
      <family val="1"/>
      <charset val="134"/>
    </font>
    <font>
      <sz val="10"/>
      <color theme="1"/>
      <name val="Arial"/>
      <family val="2"/>
    </font>
    <font>
      <sz val="10"/>
      <color theme="1"/>
      <name val="SimSun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4">
    <xf numFmtId="0" fontId="0" fillId="0" borderId="0"/>
    <xf numFmtId="0" fontId="14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0" fontId="13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176" fontId="19" fillId="0" borderId="0">
      <alignment vertical="center"/>
    </xf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5" fillId="0" borderId="0"/>
    <xf numFmtId="0" fontId="15" fillId="0" borderId="0"/>
    <xf numFmtId="176" fontId="19" fillId="0" borderId="0">
      <alignment vertical="center"/>
    </xf>
    <xf numFmtId="0" fontId="16" fillId="0" borderId="0">
      <alignment vertical="center"/>
    </xf>
    <xf numFmtId="0" fontId="21" fillId="0" borderId="0">
      <alignment vertical="center"/>
    </xf>
    <xf numFmtId="0" fontId="19" fillId="0" borderId="0"/>
    <xf numFmtId="176" fontId="19" fillId="0" borderId="0"/>
    <xf numFmtId="0" fontId="16" fillId="0" borderId="0"/>
    <xf numFmtId="0" fontId="15" fillId="0" borderId="0"/>
  </cellStyleXfs>
  <cellXfs count="41">
    <xf numFmtId="0" fontId="0" fillId="0" borderId="0" xfId="0"/>
    <xf numFmtId="0" fontId="1" fillId="0" borderId="0" xfId="0" applyFont="1"/>
    <xf numFmtId="0" fontId="6" fillId="0" borderId="0" xfId="0" applyFont="1"/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24" applyFont="1" applyBorder="1" applyAlignment="1">
      <alignment horizontal="center" vertical="center" shrinkToFit="1"/>
    </xf>
    <xf numFmtId="0" fontId="2" fillId="0" borderId="1" xfId="24" applyFont="1" applyBorder="1" applyAlignment="1">
      <alignment horizontal="center" vertical="center"/>
    </xf>
    <xf numFmtId="0" fontId="2" fillId="0" borderId="1" xfId="24" applyFont="1" applyBorder="1" applyAlignment="1">
      <alignment horizontal="center" vertical="center" shrinkToFit="1"/>
    </xf>
    <xf numFmtId="0" fontId="3" fillId="0" borderId="1" xfId="24" applyFont="1" applyBorder="1" applyAlignment="1">
      <alignment horizontal="center" vertical="center"/>
    </xf>
    <xf numFmtId="9" fontId="2" fillId="0" borderId="1" xfId="24" applyNumberFormat="1" applyFont="1" applyBorder="1" applyAlignment="1">
      <alignment horizontal="center" vertical="center"/>
    </xf>
    <xf numFmtId="0" fontId="10" fillId="0" borderId="1" xfId="24" applyFont="1" applyBorder="1" applyAlignment="1">
      <alignment horizontal="center" vertical="center" shrinkToFit="1"/>
    </xf>
    <xf numFmtId="0" fontId="10" fillId="0" borderId="0" xfId="24" applyFont="1" applyAlignment="1">
      <alignment horizontal="center" vertical="center" shrinkToFit="1"/>
    </xf>
    <xf numFmtId="0" fontId="2" fillId="0" borderId="0" xfId="24" applyFont="1" applyAlignment="1">
      <alignment horizontal="center" vertical="center"/>
    </xf>
    <xf numFmtId="9" fontId="2" fillId="0" borderId="0" xfId="24" applyNumberFormat="1" applyFont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19" fillId="0" borderId="0" xfId="0" applyFont="1"/>
    <xf numFmtId="176" fontId="10" fillId="0" borderId="1" xfId="0" applyNumberFormat="1" applyFont="1" applyBorder="1" applyAlignment="1">
      <alignment horizontal="center" vertical="center"/>
    </xf>
    <xf numFmtId="0" fontId="23" fillId="0" borderId="0" xfId="0" applyFont="1"/>
    <xf numFmtId="0" fontId="24" fillId="0" borderId="1" xfId="0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2" fillId="0" borderId="2" xfId="24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3" xfId="0" applyFont="1" applyBorder="1" applyAlignment="1">
      <alignment horizontal="center"/>
    </xf>
    <xf numFmtId="0" fontId="2" fillId="0" borderId="3" xfId="24" applyFont="1" applyBorder="1" applyAlignment="1">
      <alignment horizontal="center" vertical="center"/>
    </xf>
    <xf numFmtId="9" fontId="2" fillId="0" borderId="3" xfId="24" applyNumberFormat="1" applyFont="1" applyBorder="1" applyAlignment="1">
      <alignment horizontal="center" vertical="center"/>
    </xf>
    <xf numFmtId="0" fontId="25" fillId="0" borderId="1" xfId="24" applyFont="1" applyBorder="1" applyAlignment="1">
      <alignment horizontal="center" vertical="center" shrinkToFit="1"/>
    </xf>
    <xf numFmtId="0" fontId="26" fillId="0" borderId="1" xfId="24" applyFont="1" applyBorder="1" applyAlignment="1">
      <alignment horizontal="center" vertical="center" shrinkToFit="1"/>
    </xf>
    <xf numFmtId="0" fontId="25" fillId="0" borderId="1" xfId="24" applyFont="1" applyBorder="1" applyAlignment="1">
      <alignment horizontal="center" vertical="center"/>
    </xf>
    <xf numFmtId="9" fontId="25" fillId="0" borderId="1" xfId="24" applyNumberFormat="1" applyFont="1" applyBorder="1" applyAlignment="1">
      <alignment horizontal="center" vertical="center"/>
    </xf>
    <xf numFmtId="0" fontId="26" fillId="0" borderId="1" xfId="24" applyFont="1" applyBorder="1" applyAlignment="1">
      <alignment horizontal="center" vertical="center"/>
    </xf>
    <xf numFmtId="0" fontId="13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center" vertical="center" wrapText="1"/>
    </xf>
    <xf numFmtId="177" fontId="2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9" fontId="3" fillId="2" borderId="1" xfId="2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</cellXfs>
  <cellStyles count="34">
    <cellStyle name="_ET_STYLE_NoName_00_" xfId="1" xr:uid="{00000000-0005-0000-0000-000000000000}"/>
    <cellStyle name="百分比" xfId="2" builtinId="5"/>
    <cellStyle name="百分比 36" xfId="3" xr:uid="{00000000-0005-0000-0000-000002000000}"/>
    <cellStyle name="常规" xfId="0" builtinId="0"/>
    <cellStyle name="常规 156" xfId="4" xr:uid="{00000000-0005-0000-0000-000004000000}"/>
    <cellStyle name="常规 156 3" xfId="5" xr:uid="{00000000-0005-0000-0000-000005000000}"/>
    <cellStyle name="常规 156 3 2" xfId="6" xr:uid="{00000000-0005-0000-0000-000006000000}"/>
    <cellStyle name="常规 156 3 3" xfId="7" xr:uid="{00000000-0005-0000-0000-000007000000}"/>
    <cellStyle name="常规 156 3 4" xfId="8" xr:uid="{00000000-0005-0000-0000-000008000000}"/>
    <cellStyle name="常规 156 3 5" xfId="9" xr:uid="{00000000-0005-0000-0000-000009000000}"/>
    <cellStyle name="常规 164 2 17" xfId="10" xr:uid="{00000000-0005-0000-0000-00000A000000}"/>
    <cellStyle name="常规 179" xfId="11" xr:uid="{00000000-0005-0000-0000-00000B000000}"/>
    <cellStyle name="常规 179 2" xfId="12" xr:uid="{00000000-0005-0000-0000-00000C000000}"/>
    <cellStyle name="常规 179 3" xfId="13" xr:uid="{00000000-0005-0000-0000-00000D000000}"/>
    <cellStyle name="常规 179 4" xfId="14" xr:uid="{00000000-0005-0000-0000-00000E000000}"/>
    <cellStyle name="常规 179 5" xfId="15" xr:uid="{00000000-0005-0000-0000-00000F000000}"/>
    <cellStyle name="常规 179 6" xfId="16" xr:uid="{00000000-0005-0000-0000-000010000000}"/>
    <cellStyle name="常规 179 7" xfId="17" xr:uid="{00000000-0005-0000-0000-000011000000}"/>
    <cellStyle name="常规 2" xfId="18" xr:uid="{00000000-0005-0000-0000-000012000000}"/>
    <cellStyle name="常规 3" xfId="19" xr:uid="{00000000-0005-0000-0000-000013000000}"/>
    <cellStyle name="常规 4" xfId="20" xr:uid="{00000000-0005-0000-0000-000014000000}"/>
    <cellStyle name="常规 5" xfId="21" xr:uid="{00000000-0005-0000-0000-000015000000}"/>
    <cellStyle name="常规 6" xfId="22" xr:uid="{00000000-0005-0000-0000-000016000000}"/>
    <cellStyle name="常规 7" xfId="23" xr:uid="{00000000-0005-0000-0000-000017000000}"/>
    <cellStyle name="常规_月評分~1" xfId="24" xr:uid="{00000000-0005-0000-0000-000018000000}"/>
    <cellStyle name="樣式 1" xfId="25" xr:uid="{00000000-0005-0000-0000-00001A000000}"/>
    <cellStyle name="樣式 1 4 5" xfId="26" xr:uid="{00000000-0005-0000-0000-00001B000000}"/>
    <cellStyle name="一般 10 11" xfId="27" xr:uid="{00000000-0005-0000-0000-00001C000000}"/>
    <cellStyle name="一般 2" xfId="28" xr:uid="{00000000-0005-0000-0000-00001D000000}"/>
    <cellStyle name="一般 2 2" xfId="29" xr:uid="{00000000-0005-0000-0000-00001E000000}"/>
    <cellStyle name="一般 2 2 2 2" xfId="30" xr:uid="{00000000-0005-0000-0000-00001F000000}"/>
    <cellStyle name="一般 2 2 5" xfId="31" xr:uid="{00000000-0005-0000-0000-000020000000}"/>
    <cellStyle name="一般 4 2" xfId="32" xr:uid="{00000000-0005-0000-0000-000021000000}"/>
    <cellStyle name="一般_9月份" xfId="33" xr:uid="{00000000-0005-0000-0000-00002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600" b="0" i="0" u="sng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rPr lang="zh-CN" altLang="en-US"/>
              <a:t>供应商月考核评分折线图</a:t>
            </a:r>
          </a:p>
        </c:rich>
      </c:tx>
      <c:layout>
        <c:manualLayout>
          <c:xMode val="edge"/>
          <c:yMode val="edge"/>
          <c:x val="0.3643214525720575"/>
          <c:y val="5.8127327107367404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716687587964541"/>
          <c:y val="0.32848837209302362"/>
          <c:w val="0.83084004602993144"/>
          <c:h val="0.53779069767444065"/>
        </c:manualLayout>
      </c:layout>
      <c:lineChart>
        <c:grouping val="stacked"/>
        <c:varyColors val="0"/>
        <c:ser>
          <c:idx val="0"/>
          <c:order val="0"/>
          <c:tx>
            <c:strRef>
              <c:f>'MF375(FQC)S.供应商月综合质量评估'!$A$20</c:f>
              <c:strCache>
                <c:ptCount val="1"/>
                <c:pt idx="0">
                  <c:v>总评分</c:v>
                </c:pt>
              </c:strCache>
            </c:strRef>
          </c:tx>
          <c:spPr>
            <a:ln w="25400" cap="rnd" cmpd="sng" algn="ctr">
              <a:solidFill>
                <a:srgbClr val="000080"/>
              </a:solidFill>
              <a:prstDash val="solid"/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diamond"/>
            <c:size val="5"/>
            <c:spPr>
              <a:solidFill>
                <a:srgbClr val="000080"/>
              </a:solidFill>
              <a:ln w="9525" cap="flat" cmpd="sng" algn="ctr">
                <a:solidFill>
                  <a:srgbClr val="000080"/>
                </a:solidFill>
                <a:prstDash val="solid"/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'MF375(FQC)S.供应商月综合质量评估'!$B$19:$I$19</c:f>
              <c:strCache>
                <c:ptCount val="8"/>
                <c:pt idx="0">
                  <c:v>耐落</c:v>
                </c:pt>
                <c:pt idx="1">
                  <c:v>大盛</c:v>
                </c:pt>
                <c:pt idx="2">
                  <c:v>兴欣</c:v>
                </c:pt>
                <c:pt idx="3">
                  <c:v>安泰</c:v>
                </c:pt>
                <c:pt idx="4">
                  <c:v>中腾</c:v>
                </c:pt>
                <c:pt idx="5">
                  <c:v>巧蹴</c:v>
                </c:pt>
                <c:pt idx="6">
                  <c:v>青哲</c:v>
                </c:pt>
                <c:pt idx="7">
                  <c:v>永哲</c:v>
                </c:pt>
              </c:strCache>
            </c:strRef>
          </c:cat>
          <c:val>
            <c:numRef>
              <c:f>'MF375(FQC)S.供应商月综合质量评估'!$B$20:$I$20</c:f>
              <c:numCache>
                <c:formatCode>General</c:formatCode>
                <c:ptCount val="8"/>
                <c:pt idx="0">
                  <c:v>93</c:v>
                </c:pt>
                <c:pt idx="1">
                  <c:v>92.9</c:v>
                </c:pt>
                <c:pt idx="2">
                  <c:v>93</c:v>
                </c:pt>
                <c:pt idx="3">
                  <c:v>92.9</c:v>
                </c:pt>
                <c:pt idx="4">
                  <c:v>86.9</c:v>
                </c:pt>
                <c:pt idx="5">
                  <c:v>93</c:v>
                </c:pt>
                <c:pt idx="6">
                  <c:v>93</c:v>
                </c:pt>
                <c:pt idx="7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AE-4881-A784-8122BC9A81CC}"/>
            </c:ext>
          </c:extLst>
        </c:ser>
        <c:ser>
          <c:idx val="1"/>
          <c:order val="1"/>
          <c:tx>
            <c:strRef>
              <c:f>'MF375(FQC)S.供应商月综合质量评估'!$A$21</c:f>
              <c:strCache>
                <c:ptCount val="1"/>
                <c:pt idx="0">
                  <c:v>不良率%</c:v>
                </c:pt>
              </c:strCache>
            </c:strRef>
          </c:tx>
          <c:spPr>
            <a:ln w="25400" cap="rnd" cmpd="sng" algn="ctr">
              <a:solidFill>
                <a:srgbClr val="FF0000"/>
              </a:solidFill>
              <a:prstDash val="solid"/>
              <a:round/>
              <a:headEnd type="diamond" w="lg" len="lg"/>
              <a:tailEnd type="diamond" w="lg" len="lg"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square"/>
            <c:size val="5"/>
            <c:spPr>
              <a:solidFill>
                <a:srgbClr val="FF00FF"/>
              </a:solidFill>
              <a:ln w="9525" cap="flat" cmpd="sng" algn="ctr">
                <a:solidFill>
                  <a:srgbClr val="FF00FF"/>
                </a:solidFill>
                <a:prstDash val="solid"/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'MF375(FQC)S.供应商月综合质量评估'!$B$19:$I$19</c:f>
              <c:strCache>
                <c:ptCount val="8"/>
                <c:pt idx="0">
                  <c:v>耐落</c:v>
                </c:pt>
                <c:pt idx="1">
                  <c:v>大盛</c:v>
                </c:pt>
                <c:pt idx="2">
                  <c:v>兴欣</c:v>
                </c:pt>
                <c:pt idx="3">
                  <c:v>安泰</c:v>
                </c:pt>
                <c:pt idx="4">
                  <c:v>中腾</c:v>
                </c:pt>
                <c:pt idx="5">
                  <c:v>巧蹴</c:v>
                </c:pt>
                <c:pt idx="6">
                  <c:v>青哲</c:v>
                </c:pt>
                <c:pt idx="7">
                  <c:v>永哲</c:v>
                </c:pt>
              </c:strCache>
            </c:strRef>
          </c:cat>
          <c:val>
            <c:numRef>
              <c:f>'MF375(FQC)S.供应商月综合质量评估'!$B$21:$I$21</c:f>
              <c:numCache>
                <c:formatCode>0%</c:formatCode>
                <c:ptCount val="8"/>
                <c:pt idx="0">
                  <c:v>1</c:v>
                </c:pt>
                <c:pt idx="1">
                  <c:v>0.99</c:v>
                </c:pt>
                <c:pt idx="2">
                  <c:v>1</c:v>
                </c:pt>
                <c:pt idx="3">
                  <c:v>0.99</c:v>
                </c:pt>
                <c:pt idx="4">
                  <c:v>0.95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AE-4881-A784-8122BC9A8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401152"/>
        <c:axId val="144402688"/>
      </c:lineChart>
      <c:catAx>
        <c:axId val="14440115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44402688"/>
        <c:crosses val="autoZero"/>
        <c:auto val="1"/>
        <c:lblAlgn val="ctr"/>
        <c:lblOffset val="100"/>
        <c:tickMarkSkip val="1"/>
        <c:noMultiLvlLbl val="0"/>
      </c:catAx>
      <c:valAx>
        <c:axId val="144402688"/>
        <c:scaling>
          <c:orientation val="minMax"/>
          <c:max val="100"/>
          <c:min val="80"/>
        </c:scaling>
        <c:delete val="0"/>
        <c:axPos val="l"/>
        <c:majorGridlines>
          <c:spPr>
            <a:ln w="3175" cap="flat" cmpd="sng" algn="ctr">
              <a:solidFill>
                <a:srgbClr val="000000">
                  <a:alpha val="100000"/>
                </a:srgbClr>
              </a:solidFill>
              <a:prstDash val="sysDot"/>
              <a:round/>
            </a:ln>
            <a:effectLst/>
          </c:spPr>
        </c:majorGridlines>
        <c:numFmt formatCode="#,##0.00_);[Red]\(#,##0.00\)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44401152"/>
        <c:crosses val="autoZero"/>
        <c:crossBetween val="between"/>
      </c:valAx>
      <c:spPr>
        <a:solidFill>
          <a:schemeClr val="bg1">
            <a:lumMod val="95000"/>
            <a:alpha val="100000"/>
          </a:schemeClr>
        </a:solidFill>
        <a:ln w="12700" cmpd="sng">
          <a:noFill/>
          <a:prstDash val="solid"/>
        </a:ln>
        <a:effectLst/>
      </c:spPr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</c:legendEntry>
      <c:layout>
        <c:manualLayout>
          <c:xMode val="edge"/>
          <c:yMode val="edge"/>
          <c:x val="0.85408840199322911"/>
          <c:y val="6.1350180064701334E-3"/>
          <c:w val="0.11599997464085166"/>
          <c:h val="0.12250015259720426"/>
        </c:manualLayout>
      </c:layout>
      <c:overlay val="0"/>
      <c:spPr>
        <a:solidFill>
          <a:srgbClr val="FFFFFF"/>
        </a:solidFill>
        <a:ln w="12700">
          <a:noFill/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rgbClr val="FFFFFF"/>
    </a:solidFill>
    <a:ln w="3175" cap="flat" cmpd="sng" algn="ctr">
      <a:solidFill>
        <a:srgbClr val="000000">
          <a:alpha val="100000"/>
        </a:srgb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000000000001055" r="0.75000000000001055" t="1" header="0.5" footer="0.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600" b="0" i="0" u="sng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rPr lang="zh-CN" altLang="en-US"/>
              <a:t>供应商月考核评分折线图</a:t>
            </a:r>
          </a:p>
        </c:rich>
      </c:tx>
      <c:layout>
        <c:manualLayout>
          <c:xMode val="edge"/>
          <c:yMode val="edge"/>
          <c:x val="0.35625771440732029"/>
          <c:y val="7.6946819415813434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533907923671701"/>
          <c:y val="0.20703186779764121"/>
          <c:w val="0.83084004602993144"/>
          <c:h val="0.57945952034965587"/>
        </c:manualLayout>
      </c:layout>
      <c:lineChart>
        <c:grouping val="stacked"/>
        <c:varyColors val="0"/>
        <c:ser>
          <c:idx val="1"/>
          <c:order val="0"/>
          <c:tx>
            <c:strRef>
              <c:f>'MF375(FQC)S.供应商月综合质量评估'!$A$57</c:f>
              <c:strCache>
                <c:ptCount val="1"/>
                <c:pt idx="0">
                  <c:v>总评分</c:v>
                </c:pt>
              </c:strCache>
            </c:strRef>
          </c:tx>
          <c:spPr>
            <a:ln w="25400" cap="rnd" cmpd="sng" algn="ctr">
              <a:solidFill>
                <a:srgbClr val="FF0000"/>
              </a:solidFill>
              <a:prstDash val="solid"/>
              <a:miter lim="800000"/>
              <a:headEnd type="diamond"/>
              <a:tailEnd type="diamond" w="med" len="med"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square"/>
            <c:size val="5"/>
            <c:spPr>
              <a:solidFill>
                <a:srgbClr val="FF00FF"/>
              </a:solidFill>
              <a:ln w="9525" cap="flat" cmpd="sng" algn="ctr">
                <a:solidFill>
                  <a:srgbClr val="FF00FF"/>
                </a:solidFill>
                <a:prstDash val="solid"/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Pt>
            <c:idx val="7"/>
            <c:bubble3D val="0"/>
            <c:spPr>
              <a:ln w="25400" cap="rnd" cmpd="sng" algn="ctr">
                <a:solidFill>
                  <a:srgbClr val="FF0000"/>
                </a:solidFill>
                <a:prstDash val="solid"/>
                <a:miter lim="800000"/>
                <a:headEnd type="diamond" w="lg" len="lg"/>
                <a:tailEnd type="diamond" w="med" len="med"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6F4-4C87-9909-E04B12E912B5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'MF375(FQC)S.供应商月综合质量评估'!$B$56:$J$56</c:f>
              <c:strCache>
                <c:ptCount val="9"/>
                <c:pt idx="0">
                  <c:v> 启阳 </c:v>
                </c:pt>
                <c:pt idx="1">
                  <c:v>巧蹴</c:v>
                </c:pt>
                <c:pt idx="2">
                  <c:v> 钛宏 </c:v>
                </c:pt>
                <c:pt idx="3">
                  <c:v> 特兴哲 </c:v>
                </c:pt>
                <c:pt idx="4">
                  <c:v>中腾</c:v>
                </c:pt>
                <c:pt idx="5">
                  <c:v> 奥瑞斯 </c:v>
                </c:pt>
                <c:pt idx="6">
                  <c:v>冉裕</c:v>
                </c:pt>
                <c:pt idx="7">
                  <c:v> 走舸 </c:v>
                </c:pt>
                <c:pt idx="8">
                  <c:v> 绿叶 </c:v>
                </c:pt>
              </c:strCache>
            </c:strRef>
          </c:cat>
          <c:val>
            <c:numRef>
              <c:f>'MF375(FQC)S.供应商月综合质量评估'!$B$57:$J$57</c:f>
              <c:numCache>
                <c:formatCode>General</c:formatCode>
                <c:ptCount val="9"/>
                <c:pt idx="0">
                  <c:v>93</c:v>
                </c:pt>
                <c:pt idx="1">
                  <c:v>88</c:v>
                </c:pt>
                <c:pt idx="2">
                  <c:v>88</c:v>
                </c:pt>
                <c:pt idx="3">
                  <c:v>88</c:v>
                </c:pt>
                <c:pt idx="4">
                  <c:v>84.7</c:v>
                </c:pt>
                <c:pt idx="5">
                  <c:v>90</c:v>
                </c:pt>
                <c:pt idx="6">
                  <c:v>80.099999999999994</c:v>
                </c:pt>
                <c:pt idx="7">
                  <c:v>93</c:v>
                </c:pt>
                <c:pt idx="8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F4-4C87-9909-E04B12E912B5}"/>
            </c:ext>
          </c:extLst>
        </c:ser>
        <c:ser>
          <c:idx val="0"/>
          <c:order val="1"/>
          <c:tx>
            <c:strRef>
              <c:f>'MF375(FQC)S.供应商月综合质量评估'!$A$58</c:f>
              <c:strCache>
                <c:ptCount val="1"/>
                <c:pt idx="0">
                  <c:v>不良率%</c:v>
                </c:pt>
              </c:strCache>
            </c:strRef>
          </c:tx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'MF375(FQC)S.供应商月综合质量评估'!$B$56:$J$56</c:f>
              <c:strCache>
                <c:ptCount val="9"/>
                <c:pt idx="0">
                  <c:v> 启阳 </c:v>
                </c:pt>
                <c:pt idx="1">
                  <c:v>巧蹴</c:v>
                </c:pt>
                <c:pt idx="2">
                  <c:v> 钛宏 </c:v>
                </c:pt>
                <c:pt idx="3">
                  <c:v> 特兴哲 </c:v>
                </c:pt>
                <c:pt idx="4">
                  <c:v>中腾</c:v>
                </c:pt>
                <c:pt idx="5">
                  <c:v> 奥瑞斯 </c:v>
                </c:pt>
                <c:pt idx="6">
                  <c:v>冉裕</c:v>
                </c:pt>
                <c:pt idx="7">
                  <c:v> 走舸 </c:v>
                </c:pt>
                <c:pt idx="8">
                  <c:v> 绿叶 </c:v>
                </c:pt>
              </c:strCache>
            </c:strRef>
          </c:cat>
          <c:val>
            <c:numRef>
              <c:f>'MF375(FQC)S.供应商月综合质量评估'!$B$58:$J$58</c:f>
              <c:numCache>
                <c:formatCode>0%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0.87</c:v>
                </c:pt>
                <c:pt idx="5">
                  <c:v>1</c:v>
                </c:pt>
                <c:pt idx="6">
                  <c:v>0.91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F4-4C87-9909-E04B12E91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421632"/>
        <c:axId val="144423168"/>
      </c:lineChart>
      <c:catAx>
        <c:axId val="1444216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44423168"/>
        <c:crosses val="autoZero"/>
        <c:auto val="1"/>
        <c:lblAlgn val="ctr"/>
        <c:lblOffset val="100"/>
        <c:tickMarkSkip val="1"/>
        <c:noMultiLvlLbl val="0"/>
      </c:catAx>
      <c:valAx>
        <c:axId val="144423168"/>
        <c:scaling>
          <c:orientation val="minMax"/>
          <c:max val="100"/>
          <c:min val="60"/>
        </c:scaling>
        <c:delete val="0"/>
        <c:axPos val="l"/>
        <c:majorGridlines>
          <c:spPr>
            <a:ln w="3175" cap="flat" cmpd="sng" algn="ctr">
              <a:solidFill>
                <a:srgbClr val="000000">
                  <a:alpha val="100000"/>
                </a:srgbClr>
              </a:solidFill>
              <a:prstDash val="sysDot"/>
              <a:round/>
            </a:ln>
            <a:effectLst/>
          </c:spPr>
        </c:majorGridlines>
        <c:numFmt formatCode="#,##0.00_);[Red]\(#,##0.00\)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144421632"/>
        <c:crosses val="autoZero"/>
        <c:crossBetween val="between"/>
      </c:valAx>
      <c:spPr>
        <a:solidFill>
          <a:schemeClr val="bg1">
            <a:lumMod val="95000"/>
            <a:alpha val="100000"/>
          </a:schemeClr>
        </a:solidFill>
        <a:ln w="12700" cmpd="sng">
          <a:noFill/>
          <a:prstDash val="solid"/>
        </a:ln>
        <a:effectLst/>
      </c:spPr>
    </c:plotArea>
    <c:legend>
      <c:legendPos val="r"/>
      <c:layout>
        <c:manualLayout>
          <c:xMode val="edge"/>
          <c:yMode val="edge"/>
          <c:x val="0.78378378378378377"/>
          <c:y val="2.2322102441057574E-3"/>
          <c:w val="0.19369369369369369"/>
          <c:h val="0.17607876268685296"/>
        </c:manualLayout>
      </c:layout>
      <c:overlay val="0"/>
      <c:spPr>
        <a:solidFill>
          <a:srgbClr val="FFFFFF"/>
        </a:solidFill>
        <a:ln w="12700">
          <a:noFill/>
          <a:prstDash val="solid"/>
        </a:ln>
      </c:spPr>
      <c:txPr>
        <a:bodyPr/>
        <a:lstStyle/>
        <a:p>
          <a:pPr rtl="0">
            <a:defRPr sz="120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rgbClr val="FFFFFF"/>
    </a:solidFill>
    <a:ln w="3175" cap="flat" cmpd="sng" algn="ctr">
      <a:solidFill>
        <a:srgbClr val="000000">
          <a:alpha val="100000"/>
        </a:srgb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000000000001055" r="0.7500000000000105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180975</xdr:rowOff>
    </xdr:from>
    <xdr:to>
      <xdr:col>9</xdr:col>
      <xdr:colOff>0</xdr:colOff>
      <xdr:row>30</xdr:row>
      <xdr:rowOff>47625</xdr:rowOff>
    </xdr:to>
    <xdr:graphicFrame macro="">
      <xdr:nvGraphicFramePr>
        <xdr:cNvPr id="5776557" name="Chart 20">
          <a:extLst>
            <a:ext uri="{FF2B5EF4-FFF2-40B4-BE49-F238E27FC236}">
              <a16:creationId xmlns:a16="http://schemas.microsoft.com/office/drawing/2014/main" id="{00000000-0008-0000-0000-0000AD245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59</xdr:row>
      <xdr:rowOff>104776</xdr:rowOff>
    </xdr:from>
    <xdr:to>
      <xdr:col>10</xdr:col>
      <xdr:colOff>104775</xdr:colOff>
      <xdr:row>68</xdr:row>
      <xdr:rowOff>142876</xdr:rowOff>
    </xdr:to>
    <xdr:graphicFrame macro="">
      <xdr:nvGraphicFramePr>
        <xdr:cNvPr id="5776558" name="Chart 20">
          <a:extLst>
            <a:ext uri="{FF2B5EF4-FFF2-40B4-BE49-F238E27FC236}">
              <a16:creationId xmlns:a16="http://schemas.microsoft.com/office/drawing/2014/main" id="{00000000-0008-0000-0000-0000AE245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40</xdr:row>
          <xdr:rowOff>19050</xdr:rowOff>
        </xdr:from>
        <xdr:to>
          <xdr:col>1</xdr:col>
          <xdr:colOff>85725</xdr:colOff>
          <xdr:row>41</xdr:row>
          <xdr:rowOff>123825</xdr:rowOff>
        </xdr:to>
        <xdr:sp macro="" textlink="">
          <xdr:nvSpPr>
            <xdr:cNvPr id="5776386" name="Object 2" hidden="1">
              <a:extLst>
                <a:ext uri="{63B3BB69-23CF-44E3-9099-C40C66FF867C}">
                  <a14:compatExt spid="_x0000_s5776386"/>
                </a:ext>
                <a:ext uri="{FF2B5EF4-FFF2-40B4-BE49-F238E27FC236}">
                  <a16:creationId xmlns:a16="http://schemas.microsoft.com/office/drawing/2014/main" id="{00000000-0008-0000-0000-000002245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/>
  </sheetPr>
  <dimension ref="A1:U70"/>
  <sheetViews>
    <sheetView showGridLines="0" tabSelected="1" topLeftCell="A16" zoomScaleSheetLayoutView="100" workbookViewId="0">
      <selection activeCell="D12" sqref="D12"/>
    </sheetView>
  </sheetViews>
  <sheetFormatPr defaultColWidth="9" defaultRowHeight="15"/>
  <cols>
    <col min="1" max="1" width="8.875" customWidth="1"/>
    <col min="2" max="2" width="7.625" customWidth="1"/>
    <col min="3" max="3" width="13.625" customWidth="1"/>
    <col min="4" max="4" width="11.5" customWidth="1"/>
    <col min="5" max="5" width="10.625" customWidth="1"/>
    <col min="6" max="6" width="11.625" customWidth="1"/>
    <col min="7" max="7" width="13.625" customWidth="1"/>
    <col min="8" max="8" width="10.625" customWidth="1"/>
    <col min="9" max="9" width="10.375" customWidth="1"/>
    <col min="10" max="10" width="10.5" customWidth="1"/>
    <col min="11" max="11" width="7.625" customWidth="1"/>
    <col min="12" max="12" width="6.625" customWidth="1"/>
    <col min="13" max="13" width="9.75" customWidth="1"/>
    <col min="14" max="19" width="5.625" customWidth="1"/>
    <col min="20" max="20" width="6.25" customWidth="1"/>
    <col min="21" max="21" width="7" customWidth="1"/>
  </cols>
  <sheetData>
    <row r="1" spans="1:13" ht="30" customHeight="1">
      <c r="A1" s="1" t="s">
        <v>30</v>
      </c>
    </row>
    <row r="2" spans="1:13" ht="9.9499999999999993" customHeight="1"/>
    <row r="3" spans="1:13" ht="15" customHeight="1">
      <c r="A3" s="2" t="s">
        <v>31</v>
      </c>
    </row>
    <row r="4" spans="1:13" ht="9.9499999999999993" customHeight="1"/>
    <row r="5" spans="1:13" ht="23.25">
      <c r="A5" s="40" t="s">
        <v>94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13" ht="20.25">
      <c r="A6" s="33" t="s">
        <v>95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</row>
    <row r="7" spans="1:13" ht="18">
      <c r="A7" s="34" t="s">
        <v>69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</row>
    <row r="8" spans="1:13">
      <c r="A8" s="35" t="s">
        <v>3</v>
      </c>
      <c r="B8" s="38" t="s">
        <v>4</v>
      </c>
      <c r="C8" s="35" t="s">
        <v>5</v>
      </c>
      <c r="D8" s="35" t="s">
        <v>6</v>
      </c>
      <c r="E8" s="35"/>
      <c r="F8" s="3" t="s">
        <v>7</v>
      </c>
      <c r="G8" s="35" t="s">
        <v>8</v>
      </c>
      <c r="H8" s="35"/>
      <c r="I8" s="35"/>
      <c r="J8" s="35"/>
      <c r="K8" s="37" t="s">
        <v>9</v>
      </c>
      <c r="L8" s="38" t="s">
        <v>10</v>
      </c>
      <c r="M8" s="36" t="s">
        <v>11</v>
      </c>
    </row>
    <row r="9" spans="1:13" ht="25.5">
      <c r="A9" s="35"/>
      <c r="B9" s="38"/>
      <c r="C9" s="35"/>
      <c r="D9" s="4" t="s">
        <v>12</v>
      </c>
      <c r="E9" s="4" t="s">
        <v>13</v>
      </c>
      <c r="F9" s="4" t="s">
        <v>14</v>
      </c>
      <c r="G9" s="4" t="s">
        <v>15</v>
      </c>
      <c r="H9" s="4" t="s">
        <v>16</v>
      </c>
      <c r="I9" s="4" t="s">
        <v>17</v>
      </c>
      <c r="J9" s="4" t="s">
        <v>18</v>
      </c>
      <c r="K9" s="37"/>
      <c r="L9" s="38"/>
      <c r="M9" s="36"/>
    </row>
    <row r="10" spans="1:13" s="18" customFormat="1">
      <c r="A10" s="26" t="s">
        <v>32</v>
      </c>
      <c r="B10" s="27" t="s">
        <v>33</v>
      </c>
      <c r="C10" s="27" t="s">
        <v>77</v>
      </c>
      <c r="D10" s="28">
        <v>24.9</v>
      </c>
      <c r="E10" s="28">
        <v>25</v>
      </c>
      <c r="F10" s="28">
        <v>10</v>
      </c>
      <c r="G10" s="28">
        <v>17</v>
      </c>
      <c r="H10" s="28">
        <v>5</v>
      </c>
      <c r="I10" s="28">
        <v>3</v>
      </c>
      <c r="J10" s="28">
        <v>8</v>
      </c>
      <c r="K10" s="28">
        <f t="shared" ref="K10:K12" si="0">SUM(D10:J10)</f>
        <v>92.9</v>
      </c>
      <c r="L10" s="28" t="s">
        <v>78</v>
      </c>
      <c r="M10" s="29">
        <v>0.99</v>
      </c>
    </row>
    <row r="11" spans="1:13" s="18" customFormat="1" ht="15" customHeight="1">
      <c r="A11" s="26" t="s">
        <v>29</v>
      </c>
      <c r="B11" s="27" t="s">
        <v>35</v>
      </c>
      <c r="C11" s="27" t="s">
        <v>34</v>
      </c>
      <c r="D11" s="28">
        <v>24.9</v>
      </c>
      <c r="E11" s="28">
        <v>25</v>
      </c>
      <c r="F11" s="28">
        <v>10</v>
      </c>
      <c r="G11" s="28">
        <v>20</v>
      </c>
      <c r="H11" s="28">
        <v>5</v>
      </c>
      <c r="I11" s="28">
        <v>0</v>
      </c>
      <c r="J11" s="28">
        <v>8</v>
      </c>
      <c r="K11" s="28">
        <f t="shared" si="0"/>
        <v>92.9</v>
      </c>
      <c r="L11" s="28" t="s">
        <v>78</v>
      </c>
      <c r="M11" s="29">
        <v>0.99</v>
      </c>
    </row>
    <row r="12" spans="1:13" s="18" customFormat="1">
      <c r="A12" s="26" t="s">
        <v>21</v>
      </c>
      <c r="B12" s="27" t="s">
        <v>0</v>
      </c>
      <c r="C12" s="30" t="s">
        <v>36</v>
      </c>
      <c r="D12" s="28">
        <v>25</v>
      </c>
      <c r="E12" s="28">
        <v>25</v>
      </c>
      <c r="F12" s="28">
        <v>10</v>
      </c>
      <c r="G12" s="28">
        <v>17</v>
      </c>
      <c r="H12" s="28">
        <v>3</v>
      </c>
      <c r="I12" s="28">
        <v>5</v>
      </c>
      <c r="J12" s="28">
        <v>8</v>
      </c>
      <c r="K12" s="28">
        <f t="shared" si="0"/>
        <v>93</v>
      </c>
      <c r="L12" s="28" t="s">
        <v>78</v>
      </c>
      <c r="M12" s="29">
        <v>1</v>
      </c>
    </row>
    <row r="13" spans="1:13" s="18" customFormat="1">
      <c r="A13" s="26" t="s">
        <v>79</v>
      </c>
      <c r="B13" s="27" t="s">
        <v>80</v>
      </c>
      <c r="C13" s="30" t="s">
        <v>81</v>
      </c>
      <c r="D13" s="28">
        <v>23.9</v>
      </c>
      <c r="E13" s="28">
        <v>25</v>
      </c>
      <c r="F13" s="28">
        <v>10</v>
      </c>
      <c r="G13" s="28">
        <v>17</v>
      </c>
      <c r="H13" s="28">
        <v>3</v>
      </c>
      <c r="I13" s="28">
        <v>0</v>
      </c>
      <c r="J13" s="28">
        <v>8</v>
      </c>
      <c r="K13" s="28">
        <f t="shared" ref="K13:K17" si="1">SUM(D13:J13)</f>
        <v>86.9</v>
      </c>
      <c r="L13" s="28" t="s">
        <v>82</v>
      </c>
      <c r="M13" s="29">
        <v>0.95</v>
      </c>
    </row>
    <row r="14" spans="1:13" s="18" customFormat="1">
      <c r="A14" s="26" t="s">
        <v>83</v>
      </c>
      <c r="B14" s="27" t="s">
        <v>84</v>
      </c>
      <c r="C14" s="30" t="s">
        <v>85</v>
      </c>
      <c r="D14" s="28">
        <v>25</v>
      </c>
      <c r="E14" s="28">
        <v>25</v>
      </c>
      <c r="F14" s="28">
        <v>10</v>
      </c>
      <c r="G14" s="28">
        <v>17</v>
      </c>
      <c r="H14" s="28">
        <v>3</v>
      </c>
      <c r="I14" s="28">
        <v>5</v>
      </c>
      <c r="J14" s="28">
        <v>8</v>
      </c>
      <c r="K14" s="28">
        <f t="shared" si="1"/>
        <v>93</v>
      </c>
      <c r="L14" s="28" t="s">
        <v>78</v>
      </c>
      <c r="M14" s="29">
        <v>1</v>
      </c>
    </row>
    <row r="15" spans="1:13" s="18" customFormat="1">
      <c r="A15" s="26" t="s">
        <v>86</v>
      </c>
      <c r="B15" s="27" t="s">
        <v>87</v>
      </c>
      <c r="C15" s="30" t="s">
        <v>88</v>
      </c>
      <c r="D15" s="28">
        <v>25</v>
      </c>
      <c r="E15" s="28">
        <v>25</v>
      </c>
      <c r="F15" s="28">
        <v>10</v>
      </c>
      <c r="G15" s="28">
        <v>17</v>
      </c>
      <c r="H15" s="28">
        <v>3</v>
      </c>
      <c r="I15" s="28">
        <v>5</v>
      </c>
      <c r="J15" s="28">
        <v>8</v>
      </c>
      <c r="K15" s="28">
        <f t="shared" si="1"/>
        <v>93</v>
      </c>
      <c r="L15" s="28" t="s">
        <v>78</v>
      </c>
      <c r="M15" s="29">
        <v>1</v>
      </c>
    </row>
    <row r="16" spans="1:13" s="18" customFormat="1">
      <c r="A16" s="7" t="s">
        <v>68</v>
      </c>
      <c r="B16" s="5" t="s">
        <v>71</v>
      </c>
      <c r="C16" s="8" t="s">
        <v>72</v>
      </c>
      <c r="D16" s="6">
        <v>25</v>
      </c>
      <c r="E16" s="6">
        <v>25</v>
      </c>
      <c r="F16" s="6">
        <v>10</v>
      </c>
      <c r="G16" s="6">
        <v>17</v>
      </c>
      <c r="H16" s="6">
        <v>3</v>
      </c>
      <c r="I16" s="6">
        <v>5</v>
      </c>
      <c r="J16" s="6">
        <v>8</v>
      </c>
      <c r="K16" s="6">
        <f t="shared" si="1"/>
        <v>93</v>
      </c>
      <c r="L16" s="6" t="s">
        <v>53</v>
      </c>
      <c r="M16" s="9">
        <v>1</v>
      </c>
    </row>
    <row r="17" spans="1:13" s="18" customFormat="1">
      <c r="A17" s="7" t="s">
        <v>73</v>
      </c>
      <c r="B17" s="5" t="s">
        <v>74</v>
      </c>
      <c r="C17" s="8" t="s">
        <v>75</v>
      </c>
      <c r="D17" s="6">
        <v>25</v>
      </c>
      <c r="E17" s="6">
        <v>25</v>
      </c>
      <c r="F17" s="6">
        <v>10</v>
      </c>
      <c r="G17" s="6">
        <v>17</v>
      </c>
      <c r="H17" s="6">
        <v>3</v>
      </c>
      <c r="I17" s="6">
        <v>5</v>
      </c>
      <c r="J17" s="6">
        <v>8</v>
      </c>
      <c r="K17" s="6">
        <f t="shared" si="1"/>
        <v>93</v>
      </c>
      <c r="L17" s="6" t="s">
        <v>53</v>
      </c>
      <c r="M17" s="9">
        <v>1</v>
      </c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spans="1:13">
      <c r="A19" s="6" t="s">
        <v>37</v>
      </c>
      <c r="B19" s="7" t="s">
        <v>26</v>
      </c>
      <c r="C19" s="7" t="s">
        <v>25</v>
      </c>
      <c r="D19" s="10" t="s">
        <v>66</v>
      </c>
      <c r="E19" s="7" t="s">
        <v>24</v>
      </c>
      <c r="F19" s="10" t="s">
        <v>76</v>
      </c>
      <c r="G19" s="19" t="s">
        <v>70</v>
      </c>
      <c r="H19" s="19" t="s">
        <v>71</v>
      </c>
      <c r="I19" s="20" t="s">
        <v>74</v>
      </c>
      <c r="J19" s="23"/>
      <c r="K19" s="22"/>
      <c r="L19" s="22"/>
      <c r="M19" s="16"/>
    </row>
    <row r="20" spans="1:13">
      <c r="A20" s="6" t="s">
        <v>38</v>
      </c>
      <c r="B20" s="6">
        <v>93</v>
      </c>
      <c r="C20" s="6">
        <v>92.9</v>
      </c>
      <c r="D20" s="6">
        <v>93</v>
      </c>
      <c r="E20" s="6">
        <v>92.9</v>
      </c>
      <c r="F20" s="6">
        <v>86.9</v>
      </c>
      <c r="G20" s="6">
        <v>93</v>
      </c>
      <c r="H20" s="6">
        <v>93</v>
      </c>
      <c r="I20" s="21">
        <v>93</v>
      </c>
      <c r="J20" s="24"/>
      <c r="K20" s="12"/>
      <c r="L20" s="12"/>
      <c r="M20" s="16"/>
    </row>
    <row r="21" spans="1:13">
      <c r="A21" s="8" t="s">
        <v>39</v>
      </c>
      <c r="B21" s="9">
        <v>1</v>
      </c>
      <c r="C21" s="9">
        <v>0.99</v>
      </c>
      <c r="D21" s="9">
        <v>1</v>
      </c>
      <c r="E21" s="9">
        <v>0.99</v>
      </c>
      <c r="F21" s="9">
        <v>0.95</v>
      </c>
      <c r="G21" s="9">
        <v>1</v>
      </c>
      <c r="H21" s="9">
        <v>1</v>
      </c>
      <c r="I21" s="9">
        <v>1</v>
      </c>
      <c r="J21" s="25"/>
      <c r="K21" s="13"/>
      <c r="L21" s="13"/>
      <c r="M21" s="16"/>
    </row>
    <row r="32" spans="1:13">
      <c r="C32" s="31"/>
      <c r="D32" s="31"/>
    </row>
    <row r="33" spans="1:13">
      <c r="B33" t="s">
        <v>93</v>
      </c>
      <c r="C33" s="31"/>
      <c r="D33" s="31" t="s">
        <v>91</v>
      </c>
      <c r="G33" t="s">
        <v>90</v>
      </c>
      <c r="J33" t="s">
        <v>92</v>
      </c>
    </row>
    <row r="39" spans="1:13">
      <c r="A39" s="2" t="s">
        <v>40</v>
      </c>
    </row>
    <row r="40" spans="1:13" ht="9.9499999999999993" customHeight="1"/>
    <row r="41" spans="1:13" ht="23.25">
      <c r="A41" s="32" t="s">
        <v>1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</row>
    <row r="42" spans="1:13" ht="20.25">
      <c r="A42" s="33" t="s">
        <v>2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</row>
    <row r="43" spans="1:13" ht="18">
      <c r="A43" s="34" t="s">
        <v>57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</row>
    <row r="44" spans="1:13">
      <c r="A44" s="35" t="s">
        <v>3</v>
      </c>
      <c r="B44" s="38" t="s">
        <v>4</v>
      </c>
      <c r="C44" s="35" t="s">
        <v>5</v>
      </c>
      <c r="D44" s="35" t="s">
        <v>6</v>
      </c>
      <c r="E44" s="35"/>
      <c r="F44" s="3" t="s">
        <v>7</v>
      </c>
      <c r="G44" s="35" t="s">
        <v>8</v>
      </c>
      <c r="H44" s="35"/>
      <c r="I44" s="35"/>
      <c r="J44" s="35"/>
      <c r="K44" s="37" t="s">
        <v>9</v>
      </c>
      <c r="L44" s="38" t="s">
        <v>10</v>
      </c>
      <c r="M44" s="39" t="s">
        <v>41</v>
      </c>
    </row>
    <row r="45" spans="1:13" ht="25.5">
      <c r="A45" s="35"/>
      <c r="B45" s="38"/>
      <c r="C45" s="35"/>
      <c r="D45" s="4" t="s">
        <v>12</v>
      </c>
      <c r="E45" s="4" t="s">
        <v>13</v>
      </c>
      <c r="F45" s="4" t="s">
        <v>14</v>
      </c>
      <c r="G45" s="4" t="s">
        <v>15</v>
      </c>
      <c r="H45" s="4" t="s">
        <v>16</v>
      </c>
      <c r="I45" s="4" t="s">
        <v>17</v>
      </c>
      <c r="J45" s="4" t="s">
        <v>18</v>
      </c>
      <c r="K45" s="37"/>
      <c r="L45" s="38"/>
      <c r="M45" s="36"/>
    </row>
    <row r="46" spans="1:13" s="18" customFormat="1" ht="16.5" customHeight="1">
      <c r="A46" s="7" t="s">
        <v>64</v>
      </c>
      <c r="B46" s="5" t="s">
        <v>47</v>
      </c>
      <c r="C46" s="5" t="s">
        <v>65</v>
      </c>
      <c r="D46" s="6">
        <v>25</v>
      </c>
      <c r="E46" s="6">
        <v>25</v>
      </c>
      <c r="F46" s="6">
        <v>10</v>
      </c>
      <c r="G46" s="6">
        <v>14</v>
      </c>
      <c r="H46" s="6">
        <v>3</v>
      </c>
      <c r="I46" s="6">
        <v>5</v>
      </c>
      <c r="J46" s="6">
        <v>6</v>
      </c>
      <c r="K46" s="14">
        <f t="shared" ref="K46:K54" si="2">SUM(D46:J46)</f>
        <v>88</v>
      </c>
      <c r="L46" s="15" t="s">
        <v>61</v>
      </c>
      <c r="M46" s="9">
        <v>1</v>
      </c>
    </row>
    <row r="47" spans="1:13" s="18" customFormat="1" ht="14.25" customHeight="1">
      <c r="A47" s="7" t="s">
        <v>22</v>
      </c>
      <c r="B47" s="7" t="s">
        <v>27</v>
      </c>
      <c r="C47" s="6" t="s">
        <v>50</v>
      </c>
      <c r="D47" s="6">
        <v>25</v>
      </c>
      <c r="E47" s="6">
        <v>25</v>
      </c>
      <c r="F47" s="6">
        <v>10</v>
      </c>
      <c r="G47" s="6">
        <v>17</v>
      </c>
      <c r="H47" s="6">
        <v>3</v>
      </c>
      <c r="I47" s="6">
        <v>5</v>
      </c>
      <c r="J47" s="6">
        <v>6</v>
      </c>
      <c r="K47" s="14">
        <f t="shared" si="2"/>
        <v>91</v>
      </c>
      <c r="L47" s="15" t="s">
        <v>53</v>
      </c>
      <c r="M47" s="9">
        <v>1</v>
      </c>
    </row>
    <row r="48" spans="1:13" s="18" customFormat="1">
      <c r="A48" s="7" t="s">
        <v>54</v>
      </c>
      <c r="B48" s="5" t="s">
        <v>49</v>
      </c>
      <c r="C48" s="7" t="s">
        <v>51</v>
      </c>
      <c r="D48" s="6">
        <v>25</v>
      </c>
      <c r="E48" s="6">
        <v>25</v>
      </c>
      <c r="F48" s="6">
        <v>10</v>
      </c>
      <c r="G48" s="6">
        <v>17</v>
      </c>
      <c r="H48" s="6">
        <v>3</v>
      </c>
      <c r="I48" s="6">
        <v>5</v>
      </c>
      <c r="J48" s="6">
        <v>8</v>
      </c>
      <c r="K48" s="14">
        <f t="shared" si="2"/>
        <v>93</v>
      </c>
      <c r="L48" s="15" t="s">
        <v>53</v>
      </c>
      <c r="M48" s="9">
        <v>1</v>
      </c>
    </row>
    <row r="49" spans="1:21" s="18" customFormat="1">
      <c r="A49" s="7" t="s">
        <v>55</v>
      </c>
      <c r="B49" s="7" t="s">
        <v>42</v>
      </c>
      <c r="C49" s="7" t="s">
        <v>51</v>
      </c>
      <c r="D49" s="6">
        <v>25</v>
      </c>
      <c r="E49" s="6">
        <v>25</v>
      </c>
      <c r="F49" s="6">
        <v>10</v>
      </c>
      <c r="G49" s="6">
        <v>14</v>
      </c>
      <c r="H49" s="6">
        <v>3</v>
      </c>
      <c r="I49" s="6">
        <v>5</v>
      </c>
      <c r="J49" s="6">
        <v>6</v>
      </c>
      <c r="K49" s="14">
        <f t="shared" si="2"/>
        <v>88</v>
      </c>
      <c r="L49" s="15" t="s">
        <v>62</v>
      </c>
      <c r="M49" s="9">
        <v>1</v>
      </c>
    </row>
    <row r="50" spans="1:21" s="18" customFormat="1">
      <c r="A50" s="7" t="s">
        <v>60</v>
      </c>
      <c r="B50" s="5" t="s">
        <v>45</v>
      </c>
      <c r="C50" s="7" t="s">
        <v>51</v>
      </c>
      <c r="D50" s="6">
        <v>21.7</v>
      </c>
      <c r="E50" s="6">
        <v>25</v>
      </c>
      <c r="F50" s="6">
        <v>10</v>
      </c>
      <c r="G50" s="6">
        <v>17</v>
      </c>
      <c r="H50" s="6">
        <v>3</v>
      </c>
      <c r="I50" s="6">
        <v>0</v>
      </c>
      <c r="J50" s="6">
        <v>8</v>
      </c>
      <c r="K50" s="14">
        <f t="shared" si="2"/>
        <v>84.7</v>
      </c>
      <c r="L50" s="15" t="s">
        <v>61</v>
      </c>
      <c r="M50" s="9">
        <v>0.87</v>
      </c>
    </row>
    <row r="51" spans="1:21" s="18" customFormat="1">
      <c r="A51" s="7" t="s">
        <v>23</v>
      </c>
      <c r="B51" s="7" t="s">
        <v>28</v>
      </c>
      <c r="C51" s="6" t="s">
        <v>50</v>
      </c>
      <c r="D51" s="6">
        <v>25</v>
      </c>
      <c r="E51" s="6">
        <v>25</v>
      </c>
      <c r="F51" s="6">
        <v>10</v>
      </c>
      <c r="G51" s="6">
        <v>14</v>
      </c>
      <c r="H51" s="6">
        <v>3</v>
      </c>
      <c r="I51" s="6">
        <v>3</v>
      </c>
      <c r="J51" s="6">
        <v>6</v>
      </c>
      <c r="K51" s="14">
        <f t="shared" si="2"/>
        <v>86</v>
      </c>
      <c r="L51" s="15" t="s">
        <v>61</v>
      </c>
      <c r="M51" s="9">
        <v>0.998</v>
      </c>
    </row>
    <row r="52" spans="1:21" s="18" customFormat="1" ht="19.5" customHeight="1">
      <c r="A52" s="7" t="s">
        <v>20</v>
      </c>
      <c r="B52" s="7" t="s">
        <v>43</v>
      </c>
      <c r="C52" s="7" t="s">
        <v>52</v>
      </c>
      <c r="D52" s="6">
        <v>25</v>
      </c>
      <c r="E52" s="6">
        <v>25</v>
      </c>
      <c r="F52" s="6">
        <v>10</v>
      </c>
      <c r="G52" s="6">
        <v>14</v>
      </c>
      <c r="H52" s="6">
        <v>3</v>
      </c>
      <c r="I52" s="6">
        <v>5</v>
      </c>
      <c r="J52" s="6">
        <v>8</v>
      </c>
      <c r="K52" s="14">
        <f t="shared" si="2"/>
        <v>90</v>
      </c>
      <c r="L52" s="15" t="s">
        <v>53</v>
      </c>
      <c r="M52" s="9">
        <v>1</v>
      </c>
      <c r="U52" s="18" t="s">
        <v>67</v>
      </c>
    </row>
    <row r="53" spans="1:21" s="18" customFormat="1" ht="19.5" customHeight="1">
      <c r="A53" s="7" t="s">
        <v>59</v>
      </c>
      <c r="B53" s="10" t="s">
        <v>58</v>
      </c>
      <c r="C53" s="6" t="s">
        <v>50</v>
      </c>
      <c r="D53" s="6">
        <v>25</v>
      </c>
      <c r="E53" s="6">
        <v>25</v>
      </c>
      <c r="F53" s="6">
        <v>10</v>
      </c>
      <c r="G53" s="6">
        <v>17</v>
      </c>
      <c r="H53" s="6">
        <v>3</v>
      </c>
      <c r="I53" s="6">
        <v>5</v>
      </c>
      <c r="J53" s="6">
        <v>8</v>
      </c>
      <c r="K53" s="14">
        <f t="shared" si="2"/>
        <v>93</v>
      </c>
      <c r="L53" s="15" t="s">
        <v>56</v>
      </c>
      <c r="M53" s="9">
        <v>1</v>
      </c>
    </row>
    <row r="54" spans="1:21" s="18" customFormat="1">
      <c r="A54" s="7" t="s">
        <v>63</v>
      </c>
      <c r="B54" s="10" t="s">
        <v>46</v>
      </c>
      <c r="C54" s="7" t="s">
        <v>44</v>
      </c>
      <c r="D54" s="6">
        <v>22.1</v>
      </c>
      <c r="E54" s="6">
        <v>25</v>
      </c>
      <c r="F54" s="6">
        <v>10</v>
      </c>
      <c r="G54" s="6">
        <v>14</v>
      </c>
      <c r="H54" s="6">
        <v>3</v>
      </c>
      <c r="I54" s="6">
        <v>0</v>
      </c>
      <c r="J54" s="6">
        <v>6</v>
      </c>
      <c r="K54" s="14">
        <f t="shared" si="2"/>
        <v>80.099999999999994</v>
      </c>
      <c r="L54" s="15" t="s">
        <v>61</v>
      </c>
      <c r="M54" s="9">
        <v>0.91</v>
      </c>
    </row>
    <row r="55" spans="1:2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</row>
    <row r="56" spans="1:21">
      <c r="A56" s="6" t="s">
        <v>37</v>
      </c>
      <c r="B56" s="15" t="s">
        <v>27</v>
      </c>
      <c r="C56" s="5" t="s">
        <v>47</v>
      </c>
      <c r="D56" s="15" t="s">
        <v>42</v>
      </c>
      <c r="E56" s="15" t="s">
        <v>28</v>
      </c>
      <c r="F56" s="5" t="s">
        <v>45</v>
      </c>
      <c r="G56" s="15" t="s">
        <v>43</v>
      </c>
      <c r="H56" s="10" t="s">
        <v>46</v>
      </c>
      <c r="I56" s="17" t="s">
        <v>49</v>
      </c>
      <c r="J56" s="17" t="s">
        <v>58</v>
      </c>
      <c r="K56" s="16"/>
      <c r="L56" s="11"/>
      <c r="M56" s="11"/>
      <c r="N56" s="11"/>
    </row>
    <row r="57" spans="1:21">
      <c r="A57" s="6" t="s">
        <v>38</v>
      </c>
      <c r="B57" s="6">
        <v>93</v>
      </c>
      <c r="C57" s="6">
        <v>88</v>
      </c>
      <c r="D57" s="6">
        <v>88</v>
      </c>
      <c r="E57" s="6">
        <v>88</v>
      </c>
      <c r="F57" s="6">
        <v>84.7</v>
      </c>
      <c r="G57" s="6">
        <v>90</v>
      </c>
      <c r="H57" s="6">
        <v>80.099999999999994</v>
      </c>
      <c r="I57" s="6">
        <v>93</v>
      </c>
      <c r="J57" s="6">
        <v>93</v>
      </c>
      <c r="K57" s="16"/>
      <c r="L57" s="12"/>
      <c r="M57" s="12"/>
      <c r="N57" s="12" t="s">
        <v>19</v>
      </c>
    </row>
    <row r="58" spans="1:21">
      <c r="A58" s="8" t="s">
        <v>39</v>
      </c>
      <c r="B58" s="9">
        <v>1</v>
      </c>
      <c r="C58" s="9">
        <v>1</v>
      </c>
      <c r="D58" s="9">
        <v>1</v>
      </c>
      <c r="E58" s="9">
        <v>1</v>
      </c>
      <c r="F58" s="9">
        <v>0.87</v>
      </c>
      <c r="G58" s="9">
        <v>1</v>
      </c>
      <c r="H58" s="9">
        <v>0.91</v>
      </c>
      <c r="I58" s="9">
        <v>1</v>
      </c>
      <c r="J58" s="9">
        <v>1</v>
      </c>
      <c r="K58" s="13"/>
      <c r="L58" s="13"/>
      <c r="M58" s="13"/>
    </row>
    <row r="60" spans="1:21">
      <c r="S60" t="s">
        <v>48</v>
      </c>
    </row>
    <row r="70" spans="2:9">
      <c r="B70" t="s">
        <v>89</v>
      </c>
      <c r="D70" s="31" t="s">
        <v>91</v>
      </c>
      <c r="G70" t="s">
        <v>90</v>
      </c>
      <c r="I70" t="s">
        <v>92</v>
      </c>
    </row>
  </sheetData>
  <mergeCells count="22">
    <mergeCell ref="L44:L45"/>
    <mergeCell ref="C44:C45"/>
    <mergeCell ref="A42:M42"/>
    <mergeCell ref="G44:J44"/>
    <mergeCell ref="A8:A9"/>
    <mergeCell ref="K44:K45"/>
    <mergeCell ref="A43:M43"/>
    <mergeCell ref="D44:E44"/>
    <mergeCell ref="M44:M45"/>
    <mergeCell ref="A41:M41"/>
    <mergeCell ref="A44:A45"/>
    <mergeCell ref="B44:B45"/>
    <mergeCell ref="A5:M5"/>
    <mergeCell ref="A6:M6"/>
    <mergeCell ref="A7:M7"/>
    <mergeCell ref="D8:E8"/>
    <mergeCell ref="G8:J8"/>
    <mergeCell ref="M8:M9"/>
    <mergeCell ref="K8:K9"/>
    <mergeCell ref="B8:B9"/>
    <mergeCell ref="C8:C9"/>
    <mergeCell ref="L8:L9"/>
  </mergeCells>
  <phoneticPr fontId="5" type="noConversion"/>
  <printOptions horizontalCentered="1"/>
  <pageMargins left="7.874015748031496E-2" right="7.874015748031496E-2" top="0" bottom="0" header="0" footer="0"/>
  <pageSetup paperSize="9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5776386" r:id="rId4">
          <objectPr defaultSize="0" autoPict="0" altText="" r:id="rId5">
            <anchor moveWithCells="1" sizeWithCells="1">
              <from>
                <xdr:col>0</xdr:col>
                <xdr:colOff>0</xdr:colOff>
                <xdr:row>40</xdr:row>
                <xdr:rowOff>19050</xdr:rowOff>
              </from>
              <to>
                <xdr:col>1</xdr:col>
                <xdr:colOff>85725</xdr:colOff>
                <xdr:row>41</xdr:row>
                <xdr:rowOff>123825</xdr:rowOff>
              </to>
            </anchor>
          </objectPr>
        </oleObject>
      </mc:Choice>
      <mc:Fallback>
        <oleObject progId="PBrush" shapeId="5776386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MF375(FQC)S.供应商月综合质量评估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ritteryu</dc:creator>
  <cp:lastModifiedBy>pb020</cp:lastModifiedBy>
  <cp:lastPrinted>2024-08-08T03:35:37Z</cp:lastPrinted>
  <dcterms:created xsi:type="dcterms:W3CDTF">2004-06-02T00:54:07Z</dcterms:created>
  <dcterms:modified xsi:type="dcterms:W3CDTF">2025-09-29T08:12:21Z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BCDA5ED25D57467397EB173E51D14979_13</vt:lpwstr>
  </property>
</Properties>
</file>